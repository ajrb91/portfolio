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er\OneDrive\Desktop\Portfolio\02 - Automation Projects\Excel Automation\Public services calculator\"/>
    </mc:Choice>
  </mc:AlternateContent>
  <xr:revisionPtr revIDLastSave="0" documentId="8_{B52EA166-7BA6-40EB-B340-E201533431DA}" xr6:coauthVersionLast="47" xr6:coauthVersionMax="47" xr10:uidLastSave="{00000000-0000-0000-0000-000000000000}"/>
  <bookViews>
    <workbookView xWindow="-120" yWindow="16080" windowWidth="29040" windowHeight="15720" tabRatio="756" xr2:uid="{00000000-000D-0000-FFFF-FFFF00000000}"/>
  </bookViews>
  <sheets>
    <sheet name="Cálculadora" sheetId="1" r:id="rId1"/>
    <sheet name="Base de datos Medellín" sheetId="2" r:id="rId2"/>
    <sheet name="Base de datos Itaguí" sheetId="3" r:id="rId3"/>
    <sheet name="Base de datos Envigado" sheetId="4" r:id="rId4"/>
    <sheet name="Base de datos Copacabana" sheetId="6" r:id="rId5"/>
    <sheet name="Base de datos La Estrella" sheetId="7" r:id="rId6"/>
    <sheet name="Base de datos Sabaneta" sheetId="8" r:id="rId7"/>
    <sheet name="Base de datos Bello" sheetId="9" r:id="rId8"/>
    <sheet name="Base de datos Girardota" sheetId="10" r:id="rId9"/>
    <sheet name="Base de datos Barbosa" sheetId="11" r:id="rId10"/>
    <sheet name="Base de datos Caldas" sheetId="13" r:id="rId11"/>
  </sheets>
  <definedNames>
    <definedName name="_xlnm.Print_Area" localSheetId="0">Cálculadora!$A$1:$K$96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9" i="1" l="1"/>
  <c r="C159" i="1"/>
  <c r="K163" i="1" s="1"/>
  <c r="K164" i="1" s="1"/>
  <c r="K76" i="1"/>
  <c r="K77" i="1" s="1"/>
  <c r="K165" i="1" l="1"/>
  <c r="J95" i="1" s="1"/>
  <c r="K78" i="1"/>
  <c r="K32" i="1"/>
  <c r="K66" i="1"/>
  <c r="K69" i="1"/>
  <c r="J87" i="1" l="1"/>
  <c r="C129" i="1" l="1"/>
  <c r="C144" i="1"/>
  <c r="F153" i="1"/>
  <c r="E153" i="1"/>
  <c r="C153" i="1"/>
  <c r="F148" i="1"/>
  <c r="F149" i="1"/>
  <c r="F150" i="1"/>
  <c r="F151" i="1"/>
  <c r="F152" i="1"/>
  <c r="E149" i="1"/>
  <c r="E150" i="1"/>
  <c r="E151" i="1"/>
  <c r="E152" i="1"/>
  <c r="E148" i="1"/>
  <c r="C149" i="1"/>
  <c r="C150" i="1"/>
  <c r="C151" i="1"/>
  <c r="C152" i="1"/>
  <c r="C148" i="1"/>
  <c r="D138" i="1"/>
  <c r="E138" i="1"/>
  <c r="F138" i="1"/>
  <c r="G138" i="1"/>
  <c r="H138" i="1"/>
  <c r="C138" i="1"/>
  <c r="D137" i="1"/>
  <c r="E137" i="1"/>
  <c r="F137" i="1"/>
  <c r="G137" i="1"/>
  <c r="H137" i="1"/>
  <c r="D136" i="1"/>
  <c r="E136" i="1"/>
  <c r="F136" i="1"/>
  <c r="G136" i="1"/>
  <c r="H136" i="1"/>
  <c r="D135" i="1"/>
  <c r="E135" i="1"/>
  <c r="F135" i="1"/>
  <c r="G135" i="1"/>
  <c r="H135" i="1"/>
  <c r="D134" i="1"/>
  <c r="E134" i="1"/>
  <c r="F134" i="1"/>
  <c r="G134" i="1"/>
  <c r="H134" i="1"/>
  <c r="C134" i="1"/>
  <c r="C135" i="1"/>
  <c r="C136" i="1"/>
  <c r="C137" i="1"/>
  <c r="D133" i="1"/>
  <c r="E133" i="1"/>
  <c r="F133" i="1"/>
  <c r="G133" i="1"/>
  <c r="H133" i="1"/>
  <c r="C133" i="1"/>
  <c r="G119" i="1"/>
  <c r="G120" i="1"/>
  <c r="G121" i="1"/>
  <c r="G122" i="1"/>
  <c r="G118" i="1"/>
  <c r="C118" i="1"/>
  <c r="D118" i="1"/>
  <c r="E118" i="1"/>
  <c r="F118" i="1"/>
  <c r="C119" i="1"/>
  <c r="D119" i="1"/>
  <c r="E119" i="1"/>
  <c r="F119" i="1"/>
  <c r="C120" i="1"/>
  <c r="D120" i="1"/>
  <c r="E120" i="1"/>
  <c r="F120" i="1"/>
  <c r="C121" i="1"/>
  <c r="D121" i="1"/>
  <c r="E121" i="1"/>
  <c r="F121" i="1"/>
  <c r="C122" i="1"/>
  <c r="D122" i="1"/>
  <c r="E122" i="1"/>
  <c r="F122" i="1"/>
  <c r="G123" i="1"/>
  <c r="F123" i="1"/>
  <c r="E123" i="1"/>
  <c r="C123" i="1"/>
  <c r="D123" i="1"/>
  <c r="B123" i="1"/>
  <c r="B120" i="1"/>
  <c r="B121" i="1"/>
  <c r="B122" i="1"/>
  <c r="B119" i="1"/>
  <c r="B118" i="1"/>
  <c r="D113" i="1"/>
  <c r="F113" i="1" s="1"/>
  <c r="C113" i="1"/>
  <c r="E113" i="1" s="1"/>
  <c r="C112" i="1"/>
  <c r="K114" i="1" l="1"/>
  <c r="K115" i="1" s="1"/>
  <c r="K121" i="1"/>
  <c r="K122" i="1" s="1"/>
  <c r="K112" i="1"/>
  <c r="K119" i="1"/>
  <c r="G113" i="1"/>
  <c r="K113" i="1" s="1"/>
  <c r="H113" i="1"/>
  <c r="K120" i="1" s="1"/>
  <c r="K116" i="1" l="1"/>
  <c r="K117" i="1" s="1"/>
  <c r="J90" i="1" s="1"/>
  <c r="K123" i="1"/>
  <c r="K124" i="1" s="1"/>
  <c r="J91" i="1" s="1"/>
  <c r="J89" i="1"/>
  <c r="J144" i="1" s="1"/>
  <c r="J88" i="1"/>
  <c r="K129" i="1" s="1"/>
  <c r="K135" i="1" l="1"/>
  <c r="K134" i="1"/>
  <c r="J147" i="1"/>
  <c r="G147" i="1"/>
  <c r="J149" i="1" s="1"/>
  <c r="J150" i="1"/>
  <c r="D92" i="1"/>
  <c r="J94" i="1" s="1"/>
  <c r="J151" i="1" l="1"/>
  <c r="K136" i="1"/>
  <c r="K137" i="1" s="1"/>
  <c r="K139" i="1" s="1"/>
  <c r="J92" i="1" s="1"/>
  <c r="J49" i="1"/>
  <c r="K33" i="1"/>
  <c r="K84" i="1"/>
  <c r="K54" i="1"/>
  <c r="G54" i="1"/>
  <c r="K38" i="1"/>
  <c r="K22" i="1"/>
  <c r="F38" i="1"/>
  <c r="F22" i="1"/>
  <c r="K4" i="1"/>
  <c r="G4" i="1"/>
  <c r="J152" i="1" l="1"/>
  <c r="J154" i="1" s="1"/>
  <c r="J93" i="1" s="1"/>
  <c r="J96" i="1" s="1"/>
  <c r="G46" i="1"/>
  <c r="K18" i="1"/>
  <c r="K19" i="1" s="1"/>
  <c r="K11" i="1"/>
  <c r="K12" i="1" s="1"/>
  <c r="F10" i="1"/>
  <c r="K16" i="1" s="1"/>
  <c r="E10" i="1"/>
  <c r="K9" i="1" s="1"/>
  <c r="J46" i="1" l="1"/>
  <c r="J48" i="1"/>
  <c r="H10" i="1"/>
  <c r="K17" i="1" s="1"/>
  <c r="K20" i="1" s="1"/>
  <c r="G10" i="1"/>
  <c r="K10" i="1" s="1"/>
  <c r="K13" i="1" s="1"/>
  <c r="K34" i="1"/>
  <c r="J50" i="1" l="1"/>
  <c r="K14" i="1"/>
  <c r="K21" i="1"/>
  <c r="K35" i="1"/>
  <c r="K37" i="1" s="1"/>
  <c r="J51" i="1" l="1"/>
  <c r="J53" i="1" s="1"/>
  <c r="J3" i="1" s="1"/>
</calcChain>
</file>

<file path=xl/sharedStrings.xml><?xml version="1.0" encoding="utf-8"?>
<sst xmlns="http://schemas.openxmlformats.org/spreadsheetml/2006/main" count="2828" uniqueCount="200">
  <si>
    <t>DATOS A INTRODUCIR POR EL USUARIO</t>
  </si>
  <si>
    <t>Estrato:</t>
  </si>
  <si>
    <t>Sector Residencial</t>
  </si>
  <si>
    <t>Cargo Fijo</t>
  </si>
  <si>
    <t>Estratos</t>
  </si>
  <si>
    <t>Cargo Fijo ($/Instalación)</t>
  </si>
  <si>
    <t>Cargo por consumo ($/m^3)</t>
  </si>
  <si>
    <t>0 - 18 m3</t>
  </si>
  <si>
    <t>&gt; 18 m3</t>
  </si>
  <si>
    <t>COSTOS ALCANTARILLADO</t>
  </si>
  <si>
    <t>Estrato</t>
  </si>
  <si>
    <t>Subsidio</t>
  </si>
  <si>
    <t>Contribución</t>
  </si>
  <si>
    <t>Comercial</t>
  </si>
  <si>
    <t>Industrial</t>
  </si>
  <si>
    <t>Consumo 0 - 18</t>
  </si>
  <si>
    <t>Consumo &gt; 18</t>
  </si>
  <si>
    <t>Ajuste</t>
  </si>
  <si>
    <t>FACTURACIÓN ACUEDUCTO</t>
  </si>
  <si>
    <t>FACTURACIÓN ALCANTARILLADO</t>
  </si>
  <si>
    <t>TOTAL:</t>
  </si>
  <si>
    <t>Estrato 2 (Bajo)</t>
  </si>
  <si>
    <t>Estrato 4 (Medio)</t>
  </si>
  <si>
    <t>Estrato 5 (Medio-Alto)</t>
  </si>
  <si>
    <t>Estrato 3 (Medio-Bajo)</t>
  </si>
  <si>
    <t>Estrato 1 (Bajo-Bajo)</t>
  </si>
  <si>
    <t>Estrato 6 (Alto)</t>
  </si>
  <si>
    <t>Consumo (Diferencia) en KWH:</t>
  </si>
  <si>
    <t>Consumo 0 - 18 m3</t>
  </si>
  <si>
    <t>Consumo &gt; 18 m3</t>
  </si>
  <si>
    <t xml:space="preserve">FACTURACIÓN </t>
  </si>
  <si>
    <t>Consumo en m3 (Acueducto|Alcantarillado):</t>
  </si>
  <si>
    <r>
      <t>Cargo p/c de</t>
    </r>
    <r>
      <rPr>
        <b/>
        <sz val="8"/>
        <color theme="1"/>
        <rFont val="Tahoma"/>
        <family val="2"/>
      </rPr>
      <t xml:space="preserve"> </t>
    </r>
    <r>
      <rPr>
        <sz val="8"/>
        <color theme="1"/>
        <rFont val="Tahoma"/>
        <family val="2"/>
      </rPr>
      <t>0 - 18 m3</t>
    </r>
  </si>
  <si>
    <t>Cargo p/c &gt; 18 m3</t>
  </si>
  <si>
    <t>DATOS CONSUMO (ACUEDUCTO|ALCANTARILLADO)</t>
  </si>
  <si>
    <t>TABLA DE SUBSIDIOS Y CONTRIBUCION POR LEY</t>
  </si>
  <si>
    <t>Consumo (Diferencia) en m3:</t>
  </si>
  <si>
    <t>Cargo Fijo ($/usuario)</t>
  </si>
  <si>
    <t>0 - 20 m3</t>
  </si>
  <si>
    <t>&gt; 20 m3</t>
  </si>
  <si>
    <t>Cargo p/c 0 - 20 m3</t>
  </si>
  <si>
    <t>Cargo p/c &gt; m3</t>
  </si>
  <si>
    <t>DATOS CONSUMO (m3)</t>
  </si>
  <si>
    <t>Consumo 0 - 20 m3</t>
  </si>
  <si>
    <t>Consumo &gt; 20 m3</t>
  </si>
  <si>
    <r>
      <rPr>
        <b/>
        <sz val="8"/>
        <color theme="1"/>
        <rFont val="Tahoma"/>
        <family val="2"/>
      </rPr>
      <t>Nota 1</t>
    </r>
    <r>
      <rPr>
        <sz val="8"/>
        <color theme="1"/>
        <rFont val="Tahoma"/>
        <family val="2"/>
      </rPr>
      <t>: Cálculo realizado en base a la UVT (actualizada para el momento en funcion del IPC en octubre de cada año) en base a lo establecido por el DIAN</t>
    </r>
  </si>
  <si>
    <t xml:space="preserve">Archivos referenciales varios: </t>
  </si>
  <si>
    <t>Pulsa Aquí</t>
  </si>
  <si>
    <t>Enlace 1:</t>
  </si>
  <si>
    <t>Enlace 2:</t>
  </si>
  <si>
    <t>Enlace 3:</t>
  </si>
  <si>
    <t>Tárifa en UVT/INSTALACIÓN (Normativa de ingresos tributario del Municipio Medellín)</t>
  </si>
  <si>
    <t>Cálculo de servicio:</t>
  </si>
  <si>
    <r>
      <t xml:space="preserve">Nota 1:  </t>
    </r>
    <r>
      <rPr>
        <sz val="8"/>
        <color theme="1"/>
        <rFont val="Tahoma"/>
        <family val="2"/>
      </rPr>
      <t>La data presentada a continuación estaba sada en la información presentada por EPM en su página web en cumplimiento de la ley 142 de 1994, las resoluciones CREG 058/2000, 119/2007, 105/2009, 026/2010, 173/2011, 158-241/2015 y Ministerio de Minas y Energia 180574 de 2012</t>
    </r>
  </si>
  <si>
    <r>
      <rPr>
        <b/>
        <sz val="8"/>
        <color theme="1"/>
        <rFont val="Tahoma"/>
        <family val="2"/>
      </rPr>
      <t>Nota 2:</t>
    </r>
    <r>
      <rPr>
        <sz val="8"/>
        <color theme="1"/>
        <rFont val="Tahoma"/>
        <family val="2"/>
      </rPr>
      <t xml:space="preserve"> La base de datos por estratos tiene que ser actualizada periodicamente (mes a mes)</t>
    </r>
  </si>
  <si>
    <r>
      <rPr>
        <b/>
        <sz val="8"/>
        <color theme="1"/>
        <rFont val="Tahoma"/>
        <family val="2"/>
      </rPr>
      <t>Nota 1</t>
    </r>
    <r>
      <rPr>
        <sz val="8"/>
        <color theme="1"/>
        <rFont val="Tahoma"/>
        <family val="2"/>
      </rPr>
      <t>: El cálculo de la tarifa del m3 de gas, se hace según lo estipulado por la Resolución 011 de 2003, expedida por la CREG (Comisión de Regulación de Energía y Gas)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</si>
  <si>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8"/>
        <color theme="1"/>
        <rFont val="Tahoma"/>
        <family val="2"/>
      </rPr>
      <t>Nota 2</t>
    </r>
    <r>
      <rPr>
        <sz val="8"/>
        <color theme="1"/>
        <rFont val="Tahoma"/>
        <family val="2"/>
      </rPr>
      <t>: La base de datos por estratos tiene que ser actualizada periodicamente (mes a mes)</t>
    </r>
  </si>
  <si>
    <r>
      <rPr>
        <b/>
        <sz val="8"/>
        <color theme="1"/>
        <rFont val="Tahoma"/>
        <family val="2"/>
      </rPr>
      <t>Nota 1:</t>
    </r>
    <r>
      <rPr>
        <sz val="8"/>
        <color theme="1"/>
        <rFont val="Tahoma"/>
        <family val="2"/>
      </rPr>
      <t xml:space="preserve"> El proceso de fijación de tarifas de cada uno de los servicios es el siguiente: La Comisión de Regulación de Agua Potable y Saneamiento Básico -CRA- establece las fórmulas tarifarias y los criterios que deben tener en cuenta las empresas (Resolución CRA 287 de 2004).</t>
    </r>
  </si>
  <si>
    <t>Subsidio (% Cargo Fijo)</t>
  </si>
  <si>
    <t>Pulse Aquí</t>
  </si>
  <si>
    <r>
      <t xml:space="preserve">FACTURACIÓN DE </t>
    </r>
    <r>
      <rPr>
        <b/>
        <u/>
        <sz val="10"/>
        <color theme="1"/>
        <rFont val="Tahoma"/>
        <family val="2"/>
      </rPr>
      <t>ENERGIA</t>
    </r>
    <r>
      <rPr>
        <sz val="10"/>
        <color theme="1"/>
        <rFont val="Tahoma"/>
        <family val="2"/>
      </rPr>
      <t xml:space="preserve"> </t>
    </r>
  </si>
  <si>
    <t>(MEDELLÍN)</t>
  </si>
  <si>
    <t xml:space="preserve">Listado área metropolitana </t>
  </si>
  <si>
    <t>(COPACABANA)</t>
  </si>
  <si>
    <t>(ITAGÜÍ)</t>
  </si>
  <si>
    <t>(ENVIGADO)</t>
  </si>
  <si>
    <t>(BELLO)</t>
  </si>
  <si>
    <t>(LA ESTRELLA)</t>
  </si>
  <si>
    <t>(SABANETA)</t>
  </si>
  <si>
    <t>(BARBOSA)</t>
  </si>
  <si>
    <t>(GIRARDOTA)</t>
  </si>
  <si>
    <r>
      <t xml:space="preserve">FACTURACIÓN DE </t>
    </r>
    <r>
      <rPr>
        <b/>
        <u/>
        <sz val="10"/>
        <color theme="1"/>
        <rFont val="Tahoma"/>
        <family val="2"/>
      </rPr>
      <t>ACUEDUCTO Y ALCANTARILLADO</t>
    </r>
  </si>
  <si>
    <r>
      <t xml:space="preserve">FACTURACIÓN DE </t>
    </r>
    <r>
      <rPr>
        <b/>
        <u/>
        <sz val="10"/>
        <color theme="1"/>
        <rFont val="Tahoma"/>
        <family val="2"/>
      </rPr>
      <t>GAS</t>
    </r>
    <r>
      <rPr>
        <sz val="10"/>
        <color theme="1"/>
        <rFont val="Tahoma"/>
        <family val="2"/>
      </rPr>
      <t xml:space="preserve"> </t>
    </r>
  </si>
  <si>
    <r>
      <t xml:space="preserve">FACTURACIÓN DE </t>
    </r>
    <r>
      <rPr>
        <b/>
        <u/>
        <sz val="10"/>
        <color theme="1"/>
        <rFont val="Tahoma"/>
        <family val="2"/>
      </rPr>
      <t xml:space="preserve">ALUMBRADO PÚBLICO </t>
    </r>
    <r>
      <rPr>
        <sz val="10"/>
        <color theme="1"/>
        <rFont val="Tahoma"/>
        <family val="2"/>
      </rPr>
      <t xml:space="preserve"> </t>
    </r>
  </si>
  <si>
    <r>
      <rPr>
        <b/>
        <sz val="8"/>
        <color theme="1"/>
        <rFont val="Tahoma"/>
        <family val="2"/>
      </rPr>
      <t>Nota 2:</t>
    </r>
    <r>
      <rPr>
        <sz val="8"/>
        <color theme="1"/>
        <rFont val="Tahoma"/>
        <family val="2"/>
      </rPr>
      <t xml:space="preserve"> La facturación del Alumbrado Público esta ponderada a nivel gubernamental en este caso establecida por la alcadía de Medellín. Ver Normativa ingresos tributarios Mpo Medellin - Artículo 110</t>
    </r>
  </si>
  <si>
    <t>Listado de meses disponibles</t>
  </si>
  <si>
    <t>Septiembre de 2016</t>
  </si>
  <si>
    <r>
      <t xml:space="preserve">FACTURACIÓN DE </t>
    </r>
    <r>
      <rPr>
        <b/>
        <u/>
        <sz val="10"/>
        <color theme="1"/>
        <rFont val="Tahoma"/>
        <family val="2"/>
      </rPr>
      <t>ASEO</t>
    </r>
  </si>
  <si>
    <t>Octubre de 2016</t>
  </si>
  <si>
    <t>Noviembre de 2016</t>
  </si>
  <si>
    <t>Diciembre de 2016</t>
  </si>
  <si>
    <t>ACUEDUCTO</t>
  </si>
  <si>
    <t>MES</t>
  </si>
  <si>
    <t>MEDELLÍN</t>
  </si>
  <si>
    <t>ALCANTARILLADO</t>
  </si>
  <si>
    <t>DATOS CONSUMO (Kwh/mes)</t>
  </si>
  <si>
    <t>FACTURACIÓN</t>
  </si>
  <si>
    <t>Consumo de 0 - 130 kwh/mes</t>
  </si>
  <si>
    <t>Consumo &gt; 130 kwh/mes</t>
  </si>
  <si>
    <t>Subsidio (%Consumo/estrato)</t>
  </si>
  <si>
    <t>Subsidio (% Cargo Fijo/estrato)</t>
  </si>
  <si>
    <t xml:space="preserve">Rango 0 - Cs ($/kWh) </t>
  </si>
  <si>
    <t>COMPARTIDO</t>
  </si>
  <si>
    <t>PROPIEDAD EPM</t>
  </si>
  <si>
    <t>PROPIEDAD CLIENTE</t>
  </si>
  <si>
    <t>Rango &gt; Cs ($/kWh)</t>
  </si>
  <si>
    <r>
      <rPr>
        <sz val="8"/>
        <color theme="1"/>
        <rFont val="Tahoma"/>
        <family val="2"/>
      </rPr>
      <t xml:space="preserve"> SELECCIONE</t>
    </r>
    <r>
      <rPr>
        <b/>
        <sz val="8"/>
        <color theme="1"/>
        <rFont val="Tahoma"/>
        <family val="2"/>
      </rPr>
      <t xml:space="preserve"> LOCALIDAD</t>
    </r>
  </si>
  <si>
    <r>
      <rPr>
        <sz val="8"/>
        <color theme="1"/>
        <rFont val="Tahoma"/>
        <family val="2"/>
      </rPr>
      <t>SELECCIONE</t>
    </r>
    <r>
      <rPr>
        <b/>
        <sz val="8"/>
        <color theme="1"/>
        <rFont val="Tahoma"/>
        <family val="2"/>
      </rPr>
      <t xml:space="preserve"> FECHA</t>
    </r>
  </si>
  <si>
    <r>
      <t xml:space="preserve">ACTUALIZAR </t>
    </r>
    <r>
      <rPr>
        <sz val="8"/>
        <color theme="1"/>
        <rFont val="Tahoma"/>
        <family val="2"/>
      </rPr>
      <t>LOCALIDAD Y FECHA</t>
    </r>
  </si>
  <si>
    <t>Pertenencia de Activos B.T</t>
  </si>
  <si>
    <t>ENERGÍA</t>
  </si>
  <si>
    <r>
      <rPr>
        <b/>
        <sz val="8"/>
        <color theme="1"/>
        <rFont val="Tahoma"/>
        <family val="2"/>
      </rPr>
      <t>Nota 2:</t>
    </r>
    <r>
      <rPr>
        <sz val="8"/>
        <color theme="1"/>
        <rFont val="Tahoma"/>
        <family val="2"/>
      </rPr>
      <t xml:space="preserve"> La base de datos por estratos tiene que ser actualizada periodicamente (mes a mes). </t>
    </r>
    <r>
      <rPr>
        <b/>
        <sz val="8"/>
        <color theme="1"/>
        <rFont val="Tahoma"/>
        <family val="2"/>
      </rPr>
      <t>Nota 3</t>
    </r>
    <r>
      <rPr>
        <sz val="8"/>
        <color theme="1"/>
        <rFont val="Tahoma"/>
        <family val="2"/>
      </rPr>
      <t>:</t>
    </r>
    <r>
      <rPr>
        <b/>
        <u/>
        <sz val="8"/>
        <color theme="1"/>
        <rFont val="Tahoma"/>
        <family val="2"/>
      </rPr>
      <t xml:space="preserve"> El consumidor del servicio tiene que estár al tanto de la pertenencia de los activos de B.T de su residencia</t>
    </r>
  </si>
  <si>
    <t>GAS</t>
  </si>
  <si>
    <t>ALUMBRADO PÚBLICO</t>
  </si>
  <si>
    <t>NO ENCONTRADO</t>
  </si>
  <si>
    <t>NO ENCONTR</t>
  </si>
  <si>
    <t>NO CÁLC</t>
  </si>
  <si>
    <t>Enero de 2017</t>
  </si>
  <si>
    <t>ITAGUÍ</t>
  </si>
  <si>
    <t>ENVIGADO</t>
  </si>
  <si>
    <t>COPACABANA</t>
  </si>
  <si>
    <t>LA ESTRELLA</t>
  </si>
  <si>
    <t>SABANETA</t>
  </si>
  <si>
    <t>BELLO</t>
  </si>
  <si>
    <t>GIRARDOTA</t>
  </si>
  <si>
    <t>BARBOSA</t>
  </si>
  <si>
    <t>Tárifa en UVT/INSTALACIÓN (Normativa de ingresos tributario del Municipio Itaguí)</t>
  </si>
  <si>
    <t>http://www.barbosa.gov.co/institucional/InformacionFinanciera/Estatuto%20Tributario%20Municipal%20Barbosa%20Ant%20-%20Decreto%2000207%20Oct30%20-%202012.pdf</t>
  </si>
  <si>
    <t>Urbano</t>
  </si>
  <si>
    <t>Rural</t>
  </si>
  <si>
    <t>Tárifa en UVT/INSTALACIÓN (Estatuto tributario municipal de Barbosa)</t>
  </si>
  <si>
    <t>http://cdim.esap.edu.co/BancoMedios/Imagenes/adoptaestatutoderentasacuerdo30girardotaantioquia%202013.pdf</t>
  </si>
  <si>
    <t>NO</t>
  </si>
  <si>
    <t>file:///C:/Users/Amilcar/Downloads/Acuerdo_028_2012-Bello%20(1).pdf</t>
  </si>
  <si>
    <t>Tárifa en UVT/INSTALACIÓN (Estatuto tributario municipal de Bello)</t>
  </si>
  <si>
    <t>Tárifa en UVT/INSTALACIÓN (Estatuto tributario municipal de Girardota)</t>
  </si>
  <si>
    <t>http://www.sabaneta.gov.co/institucional/Normas/Acuerdo%2004%20Noviembre%204%20de%202014.pdf</t>
  </si>
  <si>
    <t>Tárifa en UVT/INSTALACIÓN (Estatuto tributario municipal de Sabaneta)</t>
  </si>
  <si>
    <t>http://www.laestrella.gov.co/institucional/Normas/Acuerdo%20No%20019%20del%2030%20de%20noviembre%20de%202009.pdf</t>
  </si>
  <si>
    <t>Sector:</t>
  </si>
  <si>
    <t>Consumo en TON (Toneladas):</t>
  </si>
  <si>
    <t>INGRESE EL NÚMERO DE PERSONAS DE LA VIVIENDA:</t>
  </si>
  <si>
    <t>Consumos (En base a una familia de 4 personas)</t>
  </si>
  <si>
    <t>CALDAS</t>
  </si>
  <si>
    <t>(CALDAS)</t>
  </si>
  <si>
    <r>
      <rPr>
        <b/>
        <u/>
        <sz val="10"/>
        <color theme="1"/>
        <rFont val="Tahoma"/>
        <family val="2"/>
      </rPr>
      <t>CÁLCULADORA APROXIMADA</t>
    </r>
    <r>
      <rPr>
        <b/>
        <sz val="10"/>
        <color theme="1"/>
        <rFont val="Tahoma"/>
        <family val="2"/>
      </rPr>
      <t xml:space="preserve"> (BETA V1.0)</t>
    </r>
  </si>
  <si>
    <t>0-18 m3</t>
  </si>
  <si>
    <r>
      <t xml:space="preserve">Consumo de </t>
    </r>
    <r>
      <rPr>
        <b/>
        <sz val="9"/>
        <color theme="1"/>
        <rFont val="Tahoma"/>
        <family val="2"/>
      </rPr>
      <t>Energía</t>
    </r>
    <r>
      <rPr>
        <sz val="9"/>
        <color theme="1"/>
        <rFont val="Tahoma"/>
        <family val="2"/>
      </rPr>
      <t xml:space="preserve"> estimado:</t>
    </r>
  </si>
  <si>
    <r>
      <t xml:space="preserve">Consumo de </t>
    </r>
    <r>
      <rPr>
        <b/>
        <sz val="9"/>
        <color theme="1"/>
        <rFont val="Tahoma"/>
        <family val="2"/>
      </rPr>
      <t>Acueducto y alcantarillado</t>
    </r>
    <r>
      <rPr>
        <sz val="9"/>
        <color theme="1"/>
        <rFont val="Tahoma"/>
        <family val="2"/>
      </rPr>
      <t xml:space="preserve"> estimado:</t>
    </r>
  </si>
  <si>
    <r>
      <t xml:space="preserve">Consumo de </t>
    </r>
    <r>
      <rPr>
        <b/>
        <sz val="9"/>
        <color theme="1"/>
        <rFont val="Tahoma"/>
        <family val="2"/>
      </rPr>
      <t>Gas</t>
    </r>
    <r>
      <rPr>
        <sz val="9"/>
        <color theme="1"/>
        <rFont val="Tahoma"/>
        <family val="2"/>
      </rPr>
      <t xml:space="preserve"> estimado:</t>
    </r>
  </si>
  <si>
    <t>m3</t>
  </si>
  <si>
    <t>kwh/mes</t>
  </si>
  <si>
    <r>
      <t xml:space="preserve">Consumo de Energía </t>
    </r>
    <r>
      <rPr>
        <b/>
        <sz val="8"/>
        <color theme="1"/>
        <rFont val="Tahoma"/>
        <family val="2"/>
      </rPr>
      <t>en base a estrato</t>
    </r>
  </si>
  <si>
    <r>
      <t xml:space="preserve">Consumo de Gas </t>
    </r>
    <r>
      <rPr>
        <b/>
        <sz val="8"/>
        <color theme="1"/>
        <rFont val="Tahoma"/>
        <family val="2"/>
      </rPr>
      <t>en base a estrato</t>
    </r>
  </si>
  <si>
    <r>
      <t xml:space="preserve">Consumo de Aseo </t>
    </r>
    <r>
      <rPr>
        <b/>
        <sz val="8"/>
        <color theme="1"/>
        <rFont val="Tahoma"/>
        <family val="2"/>
      </rPr>
      <t>en base a estrato</t>
    </r>
  </si>
  <si>
    <r>
      <t xml:space="preserve">Consumo de Acueducto </t>
    </r>
    <r>
      <rPr>
        <b/>
        <sz val="8"/>
        <color theme="1"/>
        <rFont val="Tahoma"/>
        <family val="2"/>
      </rPr>
      <t>en base a estrato</t>
    </r>
  </si>
  <si>
    <r>
      <t xml:space="preserve">Consumo de Alcantarillado </t>
    </r>
    <r>
      <rPr>
        <b/>
        <sz val="8"/>
        <color theme="1"/>
        <rFont val="Tahoma"/>
        <family val="2"/>
      </rPr>
      <t>en base a estrato</t>
    </r>
  </si>
  <si>
    <t>COSTOS ACUEDUCTO</t>
  </si>
  <si>
    <t>ACUEDUCTO Y ALCANTARILLADO</t>
  </si>
  <si>
    <t xml:space="preserve">CALCULADORA APROXIMADA </t>
  </si>
  <si>
    <r>
      <rPr>
        <u/>
        <sz val="10"/>
        <rFont val="Tahoma"/>
        <family val="2"/>
      </rPr>
      <t>Cobros</t>
    </r>
    <r>
      <rPr>
        <u/>
        <sz val="8"/>
        <rFont val="Tahoma"/>
        <family val="2"/>
      </rPr>
      <t xml:space="preserve"> </t>
    </r>
    <r>
      <rPr>
        <sz val="8"/>
        <rFont val="Tahoma"/>
        <family val="2"/>
      </rPr>
      <t>Adicionales ( Ver en detalles Financieros )</t>
    </r>
  </si>
  <si>
    <r>
      <rPr>
        <u/>
        <sz val="10"/>
        <rFont val="Tahoma"/>
        <family val="2"/>
      </rPr>
      <t>Cobros</t>
    </r>
    <r>
      <rPr>
        <sz val="8"/>
        <rFont val="Tahoma"/>
        <family val="2"/>
      </rPr>
      <t xml:space="preserve"> Adicionales (Ver Detalles Financieros)</t>
    </r>
  </si>
  <si>
    <t>Alubrado Público</t>
  </si>
  <si>
    <r>
      <t xml:space="preserve">Consumo de Alumbrado Público </t>
    </r>
    <r>
      <rPr>
        <b/>
        <sz val="8"/>
        <color theme="1"/>
        <rFont val="Tahoma"/>
        <family val="2"/>
      </rPr>
      <t>en base a estrato</t>
    </r>
  </si>
  <si>
    <t>Consumo promedio por servicio/consumidor (EPM)</t>
  </si>
  <si>
    <r>
      <t xml:space="preserve"> </t>
    </r>
    <r>
      <rPr>
        <b/>
        <sz val="8"/>
        <color theme="1"/>
        <rFont val="Tahoma"/>
        <family val="2"/>
      </rPr>
      <t>Acueducto y alcantarillado</t>
    </r>
    <r>
      <rPr>
        <sz val="8"/>
        <color theme="1"/>
        <rFont val="Tahoma"/>
        <family val="2"/>
      </rPr>
      <t xml:space="preserve"> </t>
    </r>
  </si>
  <si>
    <r>
      <t xml:space="preserve"> </t>
    </r>
    <r>
      <rPr>
        <b/>
        <sz val="8"/>
        <color theme="1"/>
        <rFont val="Tahoma"/>
        <family val="2"/>
      </rPr>
      <t>Energia</t>
    </r>
  </si>
  <si>
    <r>
      <t xml:space="preserve"> </t>
    </r>
    <r>
      <rPr>
        <b/>
        <sz val="8"/>
        <color theme="1"/>
        <rFont val="Tahoma"/>
        <family val="2"/>
      </rPr>
      <t>Gas</t>
    </r>
    <r>
      <rPr>
        <sz val="8"/>
        <color theme="1"/>
        <rFont val="Tahoma"/>
        <family val="2"/>
      </rPr>
      <t xml:space="preserve"> </t>
    </r>
  </si>
  <si>
    <t>Aseo</t>
  </si>
  <si>
    <r>
      <rPr>
        <b/>
        <sz val="10"/>
        <color theme="1"/>
        <rFont val="Tahoma"/>
        <family val="2"/>
      </rPr>
      <t>AA</t>
    </r>
    <r>
      <rPr>
        <sz val="10"/>
        <color theme="1"/>
        <rFont val="Tahoma"/>
        <family val="2"/>
      </rPr>
      <t xml:space="preserve">: m3/mes; </t>
    </r>
    <r>
      <rPr>
        <b/>
        <sz val="10"/>
        <color theme="1"/>
        <rFont val="Tahoma"/>
        <family val="2"/>
      </rPr>
      <t>E:</t>
    </r>
    <r>
      <rPr>
        <sz val="10"/>
        <color theme="1"/>
        <rFont val="Tahoma"/>
        <family val="2"/>
      </rPr>
      <t xml:space="preserve"> kwh/mes; </t>
    </r>
    <r>
      <rPr>
        <b/>
        <sz val="10"/>
        <color theme="1"/>
        <rFont val="Tahoma"/>
        <family val="2"/>
      </rPr>
      <t>G:</t>
    </r>
    <r>
      <rPr>
        <sz val="10"/>
        <color theme="1"/>
        <rFont val="Tahoma"/>
        <family val="2"/>
      </rPr>
      <t xml:space="preserve"> m3/mes; </t>
    </r>
    <r>
      <rPr>
        <b/>
        <sz val="10"/>
        <color theme="1"/>
        <rFont val="Tahoma"/>
        <family val="2"/>
      </rPr>
      <t>AP:</t>
    </r>
    <r>
      <rPr>
        <sz val="10"/>
        <color theme="1"/>
        <rFont val="Tahoma"/>
        <family val="2"/>
      </rPr>
      <t xml:space="preserve"> $/mes</t>
    </r>
  </si>
  <si>
    <t>CALCULADORA DE SERVICIOS PÚBLICOS en base a</t>
  </si>
  <si>
    <t>Tárifa en UVT/INSTALACIÓN ()</t>
  </si>
  <si>
    <t>Cargo fijo ($/instalación)</t>
  </si>
  <si>
    <t>Cargo por consumo ($/m3)</t>
  </si>
  <si>
    <t>Enlace 3 (CREG):</t>
  </si>
  <si>
    <r>
      <t xml:space="preserve">Costo Fijo total (CFT en $/Suscriptor) </t>
    </r>
    <r>
      <rPr>
        <b/>
        <sz val="8"/>
        <color theme="1"/>
        <rFont val="Tahoma"/>
        <family val="2"/>
      </rPr>
      <t>=</t>
    </r>
    <r>
      <rPr>
        <sz val="8"/>
        <color theme="1"/>
        <rFont val="Tahoma"/>
        <family val="2"/>
      </rPr>
      <t xml:space="preserve"> CBL + CCS + CLUS</t>
    </r>
  </si>
  <si>
    <t>Costo Variable Total (CVNA en $/Ton) = CRT + CDF + CTL</t>
  </si>
  <si>
    <t>Tárifa en UVT/INSTALACIÓN (Normativa de ingresos tributario del Municipio en cuestión)</t>
  </si>
  <si>
    <r>
      <rPr>
        <b/>
        <u/>
        <sz val="10"/>
        <color rgb="FFFF0000"/>
        <rFont val="Tahoma"/>
        <family val="2"/>
      </rPr>
      <t>Cobros</t>
    </r>
    <r>
      <rPr>
        <b/>
        <u/>
        <sz val="8"/>
        <color rgb="FFFF0000"/>
        <rFont val="Tahoma"/>
        <family val="2"/>
      </rPr>
      <t xml:space="preserve"> </t>
    </r>
    <r>
      <rPr>
        <b/>
        <sz val="8"/>
        <color rgb="FFFF0000"/>
        <rFont val="Tahoma"/>
        <family val="2"/>
      </rPr>
      <t>Adicionales</t>
    </r>
    <r>
      <rPr>
        <b/>
        <sz val="8"/>
        <rFont val="Tahoma"/>
        <family val="2"/>
      </rPr>
      <t xml:space="preserve"> ( Ver en detalles Financieros )</t>
    </r>
  </si>
  <si>
    <r>
      <rPr>
        <b/>
        <u/>
        <sz val="10"/>
        <color rgb="FFFF0000"/>
        <rFont val="Tahoma"/>
        <family val="2"/>
      </rPr>
      <t>Cobros</t>
    </r>
    <r>
      <rPr>
        <b/>
        <sz val="8"/>
        <color rgb="FFFF0000"/>
        <rFont val="Tahoma"/>
        <family val="2"/>
      </rPr>
      <t xml:space="preserve"> Adicionales</t>
    </r>
    <r>
      <rPr>
        <b/>
        <sz val="8"/>
        <rFont val="Tahoma"/>
        <family val="2"/>
      </rPr>
      <t xml:space="preserve"> (Ver Detalles Financieros)</t>
    </r>
  </si>
  <si>
    <t>ASEO</t>
  </si>
  <si>
    <t>Subsidios - Contribuciones</t>
  </si>
  <si>
    <t>http://www.serviaseoitagui.com/index.php?option=com_content&amp;view=article&amp;id=18&amp;Itemid=11</t>
  </si>
  <si>
    <t>http://enviaseo.gov.co/wp-content/uploads/2014/11/Publicaci%C3%B3n-tarifas-2016.pdf</t>
  </si>
  <si>
    <t>http://www.aseocaldas.com/index.php?option=com_content&amp;view=article&amp;id=18&amp;Itemid=11</t>
  </si>
  <si>
    <t>Tárifa en UVT/INSTALACIÓN (Estatuto tributario municipal de Caldas)</t>
  </si>
  <si>
    <t>Alumbrado Público</t>
  </si>
  <si>
    <t>http://www.caldasantioquia.gov.co/institucional/Normas/ACUERDO%20005-2010.pdf</t>
  </si>
  <si>
    <t>Alumbrado publico</t>
  </si>
  <si>
    <t>ALUMBRADO PÚBLICO (en base a SMLMV)</t>
  </si>
  <si>
    <t>ALUMBRADO PÚBLICO (en base a UVT)</t>
  </si>
  <si>
    <t xml:space="preserve">ALUMBRADO PÚBLICO </t>
  </si>
  <si>
    <t>http://www.ceta.org.co/html/estatutos_municipales/estatuto-tributario1.pdf</t>
  </si>
  <si>
    <t>Alubrado publico</t>
  </si>
  <si>
    <t>http://www.concejoenvigado.gov.co/index.php/acuerdos-2000-2015/file/513-acuerdo-no-062-de-2008?start=60</t>
  </si>
  <si>
    <t>http://www.copa-aseo.com/index.php?option=com_content&amp;view=article&amp;id=18&amp;Itemid=11</t>
  </si>
  <si>
    <t>http://www.aseosiderense.com/index.php?option=com_content&amp;view=article&amp;id=18&amp;Itemid=11</t>
  </si>
  <si>
    <t>http://www.aseosabaneta.com/index.php?option=com_content&amp;view=article&amp;id=18&amp;Itemid=11</t>
  </si>
  <si>
    <t>http://www.belloaseo.com/index.php?option=com_content&amp;view=article&amp;id=18&amp;Itemid=11</t>
  </si>
  <si>
    <t>http://www.giraseo.com/index.php?option=com_content&amp;view=article&amp;id=18&amp;Itemid=11</t>
  </si>
  <si>
    <r>
      <t>Salario mínimo legal mes vigente (</t>
    </r>
    <r>
      <rPr>
        <b/>
        <sz val="10"/>
        <color theme="1"/>
        <rFont val="Tahoma"/>
        <family val="2"/>
      </rPr>
      <t>SMLMV</t>
    </r>
    <r>
      <rPr>
        <sz val="10"/>
        <color theme="1"/>
        <rFont val="Tahoma"/>
        <family val="2"/>
      </rPr>
      <t>)</t>
    </r>
  </si>
  <si>
    <t>PROBLEMA</t>
  </si>
  <si>
    <t>VERSIÓN BETA</t>
  </si>
  <si>
    <r>
      <t xml:space="preserve">(UVT) * (Tárifa estratificada) </t>
    </r>
    <r>
      <rPr>
        <b/>
        <sz val="10"/>
        <color theme="1"/>
        <rFont val="Tahoma"/>
        <family val="2"/>
      </rPr>
      <t>ó</t>
    </r>
    <r>
      <rPr>
        <sz val="10"/>
        <color theme="1"/>
        <rFont val="Tahoma"/>
        <family val="2"/>
      </rPr>
      <t xml:space="preserve"> (SMLMV)*(Tárifa estratificada)</t>
    </r>
  </si>
  <si>
    <t>Estratificación</t>
  </si>
  <si>
    <t>Seleccíona el servicio para ir a el:</t>
  </si>
  <si>
    <t>Costo Fijo total (CFT en $/Suscriptor) = CBL + CCS + CLUS</t>
  </si>
  <si>
    <t>CFT + CVNA*Consumo)</t>
  </si>
  <si>
    <r>
      <rPr>
        <b/>
        <sz val="10"/>
        <color theme="1"/>
        <rFont val="Tahoma"/>
        <family val="2"/>
      </rPr>
      <t>UVT</t>
    </r>
    <r>
      <rPr>
        <sz val="10"/>
        <color theme="1"/>
        <rFont val="Tahoma"/>
        <family val="2"/>
      </rPr>
      <t xml:space="preserve"> en $:</t>
    </r>
  </si>
  <si>
    <t>524.41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</si>
</sst>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\ * #,##0.00_);_(&quot;$&quot;\ * \(#,##0.00\);_(&quot;$&quot;\ * &quot;-&quot;??_);_(@_)"/>
    <numFmt numFmtId="165" formatCode="[$$-240A]\ 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12"/>
      <color theme="1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1"/>
      <color theme="1"/>
      <name val="Tahoma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b/>
      <u/>
      <sz val="10"/>
      <color theme="1"/>
      <name val="Tahoma"/>
      <family val="2"/>
    </font>
    <font>
      <sz val="12"/>
      <color theme="1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u/>
      <sz val="11"/>
      <color theme="10"/>
      <name val="Calibri"/>
      <family val="2"/>
      <scheme val="minor"/>
    </font>
    <font>
      <b/>
      <sz val="13"/>
      <color theme="1"/>
      <name val="Tahoma"/>
      <family val="2"/>
    </font>
    <font>
      <b/>
      <sz val="9"/>
      <color theme="1"/>
      <name val="Tahoma"/>
      <family val="2"/>
    </font>
    <font>
      <sz val="9"/>
      <color theme="1"/>
      <name val="Tahoma"/>
      <family val="2"/>
    </font>
    <font>
      <b/>
      <sz val="10"/>
      <color rgb="FF000000"/>
      <name val="Tahoma"/>
      <family val="2"/>
    </font>
    <font>
      <b/>
      <u/>
      <sz val="8"/>
      <color theme="1"/>
      <name val="Tahoma"/>
      <family val="2"/>
    </font>
    <font>
      <b/>
      <sz val="20"/>
      <color theme="1"/>
      <name val="Tahoma"/>
      <family val="2"/>
    </font>
    <font>
      <b/>
      <sz val="8"/>
      <color rgb="FF000000"/>
      <name val="Tahoma"/>
      <family val="2"/>
    </font>
    <font>
      <sz val="7"/>
      <color rgb="FF000000"/>
      <name val="Tahoma"/>
      <family val="2"/>
    </font>
    <font>
      <b/>
      <sz val="11"/>
      <color theme="1"/>
      <name val="Calibri"/>
      <family val="2"/>
      <scheme val="minor"/>
    </font>
    <font>
      <u/>
      <sz val="15"/>
      <color theme="1"/>
      <name val="Tahoma"/>
      <family val="2"/>
    </font>
    <font>
      <sz val="15"/>
      <color theme="1"/>
      <name val="Tahoma"/>
      <family val="2"/>
    </font>
    <font>
      <sz val="16"/>
      <color theme="1"/>
      <name val="Tahoma"/>
      <family val="2"/>
    </font>
    <font>
      <u/>
      <sz val="10"/>
      <name val="Tahoma"/>
      <family val="2"/>
    </font>
    <font>
      <u/>
      <sz val="8"/>
      <name val="Tahoma"/>
      <family val="2"/>
    </font>
    <font>
      <b/>
      <sz val="14"/>
      <color theme="1"/>
      <name val="Tahoma"/>
      <family val="2"/>
    </font>
    <font>
      <u/>
      <sz val="11"/>
      <color rgb="FF7030A0"/>
      <name val="Calibri"/>
      <family val="2"/>
      <scheme val="minor"/>
    </font>
    <font>
      <b/>
      <u/>
      <sz val="10"/>
      <color rgb="FFFF0000"/>
      <name val="Tahoma"/>
      <family val="2"/>
    </font>
    <font>
      <b/>
      <u/>
      <sz val="8"/>
      <color rgb="FFFF0000"/>
      <name val="Tahoma"/>
      <family val="2"/>
    </font>
    <font>
      <b/>
      <sz val="8"/>
      <color rgb="FFFF0000"/>
      <name val="Tahoma"/>
      <family val="2"/>
    </font>
    <font>
      <sz val="11"/>
      <color rgb="FFFF0000"/>
      <name val="Calibri"/>
      <family val="2"/>
      <scheme val="minor"/>
    </font>
    <font>
      <b/>
      <sz val="7"/>
      <color rgb="FF000000"/>
      <name val="Tahoma"/>
      <family val="2"/>
    </font>
  </fonts>
  <fills count="23">
    <fill>
      <patternFill patternType="none"/>
    </fill>
    <fill>
      <patternFill patternType="gray125"/>
    </fill>
    <fill>
      <gradientFill degree="90">
        <stop position="0">
          <color theme="0" tint="-0.1490218817712943"/>
        </stop>
        <stop position="1">
          <color theme="0"/>
        </stop>
      </gradientFill>
    </fill>
    <fill>
      <gradientFill degree="90">
        <stop position="0">
          <color rgb="FFC6E917"/>
        </stop>
        <stop position="1">
          <color rgb="FFF3FEB2"/>
        </stop>
      </gradientFill>
    </fill>
    <fill>
      <gradientFill degree="90">
        <stop position="0">
          <color theme="9" tint="0.40000610370189521"/>
        </stop>
        <stop position="1">
          <color theme="9" tint="-0.25098422193060094"/>
        </stop>
      </gradientFill>
    </fill>
    <fill>
      <gradientFill degree="90">
        <stop position="0">
          <color theme="0" tint="-5.0965910824915313E-2"/>
        </stop>
        <stop position="1">
          <color theme="0" tint="-0.34900967436750391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1">
          <color rgb="FFF3FEB2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1FFCA"/>
        <bgColor indexed="64"/>
      </patternFill>
    </fill>
    <fill>
      <gradientFill degree="90">
        <stop position="0">
          <color theme="9" tint="0.40000610370189521"/>
        </stop>
        <stop position="1">
          <color theme="9" tint="0.59999389629810485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rgb="FFF3FEB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rgb="FFC2F814"/>
        </stop>
        <stop position="1">
          <color rgb="FFF3FEB2"/>
        </stop>
      </gradientFill>
    </fill>
    <fill>
      <gradientFill degree="90">
        <stop position="0">
          <color theme="0"/>
        </stop>
        <stop position="1">
          <color theme="5" tint="0.59999389629810485"/>
        </stop>
      </gradientFill>
    </fill>
    <fill>
      <gradientFill degree="90">
        <stop position="0">
          <color theme="0"/>
        </stop>
        <stop position="1">
          <color theme="8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23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9" fontId="2" fillId="0" borderId="8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9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2" fontId="2" fillId="0" borderId="4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right"/>
    </xf>
    <xf numFmtId="165" fontId="2" fillId="0" borderId="4" xfId="0" applyNumberFormat="1" applyFont="1" applyBorder="1"/>
    <xf numFmtId="165" fontId="6" fillId="4" borderId="3" xfId="0" applyNumberFormat="1" applyFont="1" applyFill="1" applyBorder="1"/>
    <xf numFmtId="0" fontId="2" fillId="0" borderId="4" xfId="0" applyFont="1" applyBorder="1" applyAlignment="1">
      <alignment horizontal="left"/>
    </xf>
    <xf numFmtId="0" fontId="0" fillId="0" borderId="0" xfId="0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165" fontId="0" fillId="0" borderId="0" xfId="0" applyNumberFormat="1"/>
    <xf numFmtId="165" fontId="13" fillId="0" borderId="4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center" vertical="center" wrapText="1"/>
    </xf>
    <xf numFmtId="165" fontId="2" fillId="0" borderId="4" xfId="0" applyNumberFormat="1" applyFont="1" applyBorder="1" applyAlignment="1">
      <alignment vertical="center" wrapText="1"/>
    </xf>
    <xf numFmtId="0" fontId="2" fillId="0" borderId="0" xfId="0" applyFont="1"/>
    <xf numFmtId="0" fontId="8" fillId="0" borderId="4" xfId="0" applyFont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vertical="center"/>
    </xf>
    <xf numFmtId="9" fontId="2" fillId="10" borderId="12" xfId="0" applyNumberFormat="1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vertical="center"/>
    </xf>
    <xf numFmtId="9" fontId="2" fillId="10" borderId="15" xfId="0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2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2" fillId="11" borderId="4" xfId="0" applyFont="1" applyFill="1" applyBorder="1" applyAlignment="1">
      <alignment horizontal="center"/>
    </xf>
    <xf numFmtId="0" fontId="4" fillId="13" borderId="4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/>
    </xf>
    <xf numFmtId="0" fontId="2" fillId="14" borderId="4" xfId="0" applyFont="1" applyFill="1" applyBorder="1" applyAlignment="1">
      <alignment horizontal="center"/>
    </xf>
    <xf numFmtId="0" fontId="0" fillId="0" borderId="4" xfId="0" applyBorder="1"/>
    <xf numFmtId="0" fontId="2" fillId="0" borderId="2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" fontId="3" fillId="0" borderId="4" xfId="0" applyNumberFormat="1" applyFont="1" applyBorder="1" applyAlignment="1">
      <alignment horizontal="center" vertical="center" wrapText="1"/>
    </xf>
    <xf numFmtId="0" fontId="2" fillId="15" borderId="27" xfId="0" applyFont="1" applyFill="1" applyBorder="1" applyAlignment="1">
      <alignment horizontal="center" vertical="center" wrapText="1"/>
    </xf>
    <xf numFmtId="0" fontId="2" fillId="15" borderId="18" xfId="0" applyFont="1" applyFill="1" applyBorder="1" applyAlignment="1">
      <alignment horizontal="center" vertical="center" wrapText="1"/>
    </xf>
    <xf numFmtId="165" fontId="2" fillId="0" borderId="4" xfId="0" applyNumberFormat="1" applyFont="1" applyBorder="1" applyAlignment="1">
      <alignment horizontal="right" vertical="center"/>
    </xf>
    <xf numFmtId="0" fontId="2" fillId="16" borderId="4" xfId="0" applyFont="1" applyFill="1" applyBorder="1" applyAlignment="1">
      <alignment horizontal="center"/>
    </xf>
    <xf numFmtId="17" fontId="8" fillId="0" borderId="18" xfId="0" applyNumberFormat="1" applyFont="1" applyBorder="1" applyAlignment="1">
      <alignment horizont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0" fillId="0" borderId="0" xfId="0" applyAlignment="1">
      <alignment vertical="center" textRotation="255" wrapText="1"/>
    </xf>
    <xf numFmtId="0" fontId="2" fillId="16" borderId="4" xfId="0" applyFont="1" applyFill="1" applyBorder="1" applyAlignment="1">
      <alignment horizontal="center" vertical="center" wrapText="1"/>
    </xf>
    <xf numFmtId="0" fontId="14" fillId="0" borderId="0" xfId="2"/>
    <xf numFmtId="0" fontId="2" fillId="0" borderId="4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17" fontId="3" fillId="0" borderId="18" xfId="0" applyNumberFormat="1" applyFont="1" applyBorder="1" applyAlignment="1">
      <alignment horizontal="center" vertical="center" wrapText="1"/>
    </xf>
    <xf numFmtId="0" fontId="8" fillId="6" borderId="24" xfId="0" applyFont="1" applyFill="1" applyBorder="1" applyAlignment="1">
      <alignment horizontal="left" vertical="center"/>
    </xf>
    <xf numFmtId="17" fontId="3" fillId="0" borderId="17" xfId="0" applyNumberFormat="1" applyFont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165" fontId="2" fillId="0" borderId="12" xfId="0" applyNumberFormat="1" applyFont="1" applyBorder="1" applyAlignment="1">
      <alignment horizontal="right" vertical="center"/>
    </xf>
    <xf numFmtId="0" fontId="2" fillId="0" borderId="10" xfId="0" applyFont="1" applyBorder="1" applyAlignment="1">
      <alignment horizontal="left"/>
    </xf>
    <xf numFmtId="165" fontId="2" fillId="0" borderId="12" xfId="0" applyNumberFormat="1" applyFont="1" applyBorder="1" applyAlignment="1">
      <alignment horizontal="right"/>
    </xf>
    <xf numFmtId="165" fontId="2" fillId="0" borderId="12" xfId="0" applyNumberFormat="1" applyFont="1" applyBorder="1"/>
    <xf numFmtId="0" fontId="2" fillId="0" borderId="10" xfId="0" applyFont="1" applyBorder="1" applyAlignment="1">
      <alignment horizontal="left" vertical="center" wrapText="1"/>
    </xf>
    <xf numFmtId="165" fontId="2" fillId="0" borderId="12" xfId="0" applyNumberFormat="1" applyFont="1" applyBorder="1" applyAlignment="1">
      <alignment vertical="center" wrapText="1"/>
    </xf>
    <xf numFmtId="0" fontId="8" fillId="7" borderId="0" xfId="0" applyFont="1" applyFill="1" applyAlignment="1">
      <alignment horizontal="left" vertical="center"/>
    </xf>
    <xf numFmtId="17" fontId="3" fillId="0" borderId="27" xfId="0" applyNumberFormat="1" applyFont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/>
    </xf>
    <xf numFmtId="0" fontId="8" fillId="19" borderId="0" xfId="0" applyFont="1" applyFill="1" applyAlignment="1">
      <alignment horizontal="left" vertical="center"/>
    </xf>
    <xf numFmtId="0" fontId="8" fillId="7" borderId="0" xfId="0" applyFont="1" applyFill="1" applyAlignment="1">
      <alignment vertical="center"/>
    </xf>
    <xf numFmtId="0" fontId="8" fillId="0" borderId="11" xfId="0" applyFont="1" applyBorder="1" applyAlignment="1">
      <alignment horizontal="center" vertical="center" wrapText="1"/>
    </xf>
    <xf numFmtId="0" fontId="3" fillId="18" borderId="11" xfId="0" applyFont="1" applyFill="1" applyBorder="1" applyAlignment="1">
      <alignment horizontal="center" vertical="center" wrapText="1"/>
    </xf>
    <xf numFmtId="4" fontId="7" fillId="3" borderId="11" xfId="0" applyNumberFormat="1" applyFont="1" applyFill="1" applyBorder="1" applyAlignment="1">
      <alignment horizontal="center" vertical="center" wrapText="1"/>
    </xf>
    <xf numFmtId="4" fontId="8" fillId="0" borderId="11" xfId="0" applyNumberFormat="1" applyFont="1" applyBorder="1" applyAlignment="1">
      <alignment horizontal="center" vertical="center" wrapText="1"/>
    </xf>
    <xf numFmtId="4" fontId="7" fillId="3" borderId="12" xfId="0" applyNumberFormat="1" applyFont="1" applyFill="1" applyBorder="1" applyAlignment="1">
      <alignment horizontal="center" vertical="center" wrapText="1"/>
    </xf>
    <xf numFmtId="165" fontId="6" fillId="4" borderId="0" xfId="0" applyNumberFormat="1" applyFont="1" applyFill="1" applyAlignment="1">
      <alignment vertical="center" wrapText="1"/>
    </xf>
    <xf numFmtId="165" fontId="2" fillId="0" borderId="32" xfId="0" applyNumberFormat="1" applyFont="1" applyBorder="1"/>
    <xf numFmtId="0" fontId="2" fillId="0" borderId="40" xfId="0" applyFont="1" applyBorder="1" applyAlignment="1">
      <alignment horizontal="right"/>
    </xf>
    <xf numFmtId="17" fontId="14" fillId="0" borderId="40" xfId="2" applyNumberFormat="1" applyBorder="1" applyAlignment="1">
      <alignment horizontal="center" vertical="top" wrapText="1"/>
    </xf>
    <xf numFmtId="0" fontId="2" fillId="0" borderId="40" xfId="0" applyFont="1" applyBorder="1" applyAlignment="1">
      <alignment horizontal="right" vertical="center"/>
    </xf>
    <xf numFmtId="17" fontId="14" fillId="0" borderId="40" xfId="2" applyNumberFormat="1" applyBorder="1" applyAlignment="1">
      <alignment horizontal="center" vertical="center" wrapText="1"/>
    </xf>
    <xf numFmtId="17" fontId="2" fillId="0" borderId="40" xfId="0" applyNumberFormat="1" applyFont="1" applyBorder="1" applyAlignment="1">
      <alignment horizontal="right" vertical="center" wrapText="1"/>
    </xf>
    <xf numFmtId="0" fontId="14" fillId="0" borderId="40" xfId="2" applyBorder="1" applyAlignment="1">
      <alignment horizontal="center" vertical="top" wrapText="1"/>
    </xf>
    <xf numFmtId="0" fontId="14" fillId="0" borderId="40" xfId="2" applyBorder="1" applyAlignment="1">
      <alignment horizontal="left" vertical="top" wrapText="1"/>
    </xf>
    <xf numFmtId="0" fontId="14" fillId="0" borderId="40" xfId="2" applyBorder="1" applyAlignment="1">
      <alignment vertical="top" wrapText="1"/>
    </xf>
    <xf numFmtId="0" fontId="0" fillId="0" borderId="40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14" fillId="0" borderId="40" xfId="2" applyBorder="1" applyAlignment="1">
      <alignment horizontal="center"/>
    </xf>
    <xf numFmtId="0" fontId="8" fillId="0" borderId="40" xfId="0" applyFont="1" applyBorder="1" applyAlignment="1">
      <alignment vertical="center"/>
    </xf>
    <xf numFmtId="0" fontId="14" fillId="0" borderId="40" xfId="2" applyBorder="1"/>
    <xf numFmtId="0" fontId="8" fillId="0" borderId="41" xfId="0" applyFont="1" applyBorder="1" applyAlignment="1">
      <alignment vertical="center"/>
    </xf>
    <xf numFmtId="165" fontId="13" fillId="0" borderId="32" xfId="0" applyNumberFormat="1" applyFont="1" applyBorder="1" applyAlignment="1">
      <alignment horizontal="right" vertical="center"/>
    </xf>
    <xf numFmtId="165" fontId="6" fillId="4" borderId="41" xfId="0" applyNumberFormat="1" applyFont="1" applyFill="1" applyBorder="1" applyAlignment="1">
      <alignment vertical="center" wrapText="1"/>
    </xf>
    <xf numFmtId="0" fontId="29" fillId="4" borderId="20" xfId="0" applyFont="1" applyFill="1" applyBorder="1" applyAlignment="1">
      <alignment horizontal="right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15" xfId="0" applyFont="1" applyFill="1" applyBorder="1"/>
    <xf numFmtId="0" fontId="14" fillId="0" borderId="11" xfId="2" applyBorder="1" applyAlignment="1">
      <alignment horizontal="center" vertical="center" wrapText="1"/>
    </xf>
    <xf numFmtId="0" fontId="14" fillId="0" borderId="11" xfId="2" applyBorder="1" applyAlignment="1">
      <alignment horizontal="center" vertical="center"/>
    </xf>
    <xf numFmtId="0" fontId="9" fillId="20" borderId="31" xfId="0" applyFont="1" applyFill="1" applyBorder="1" applyAlignment="1">
      <alignment vertical="center" wrapText="1"/>
    </xf>
    <xf numFmtId="0" fontId="23" fillId="20" borderId="41" xfId="0" applyFont="1" applyFill="1" applyBorder="1" applyAlignment="1">
      <alignment vertical="center" wrapText="1"/>
    </xf>
    <xf numFmtId="0" fontId="9" fillId="20" borderId="45" xfId="0" applyFont="1" applyFill="1" applyBorder="1" applyAlignment="1">
      <alignment vertical="center" wrapText="1"/>
    </xf>
    <xf numFmtId="0" fontId="23" fillId="20" borderId="44" xfId="0" applyFont="1" applyFill="1" applyBorder="1" applyAlignment="1">
      <alignment vertical="center" wrapText="1"/>
    </xf>
    <xf numFmtId="0" fontId="30" fillId="0" borderId="34" xfId="0" applyFont="1" applyBorder="1" applyAlignment="1">
      <alignment horizontal="center"/>
    </xf>
    <xf numFmtId="0" fontId="0" fillId="0" borderId="31" xfId="0" applyBorder="1"/>
    <xf numFmtId="0" fontId="0" fillId="0" borderId="40" xfId="0" applyBorder="1"/>
    <xf numFmtId="0" fontId="0" fillId="0" borderId="41" xfId="0" applyBorder="1"/>
    <xf numFmtId="0" fontId="8" fillId="5" borderId="2" xfId="0" applyFont="1" applyFill="1" applyBorder="1" applyAlignment="1">
      <alignment horizontal="left" vertical="center"/>
    </xf>
    <xf numFmtId="0" fontId="8" fillId="7" borderId="4" xfId="0" applyFont="1" applyFill="1" applyBorder="1" applyAlignment="1">
      <alignment vertical="center"/>
    </xf>
    <xf numFmtId="0" fontId="8" fillId="6" borderId="4" xfId="0" applyFont="1" applyFill="1" applyBorder="1" applyAlignment="1">
      <alignment horizontal="left" vertical="center"/>
    </xf>
    <xf numFmtId="0" fontId="8" fillId="19" borderId="4" xfId="0" applyFont="1" applyFill="1" applyBorder="1" applyAlignment="1">
      <alignment vertical="center"/>
    </xf>
    <xf numFmtId="0" fontId="8" fillId="8" borderId="4" xfId="0" applyFont="1" applyFill="1" applyBorder="1" applyAlignment="1">
      <alignment vertical="center" wrapText="1"/>
    </xf>
    <xf numFmtId="0" fontId="8" fillId="0" borderId="3" xfId="0" applyFont="1" applyBorder="1" applyAlignment="1">
      <alignment vertical="center"/>
    </xf>
    <xf numFmtId="0" fontId="2" fillId="0" borderId="14" xfId="0" applyFont="1" applyBorder="1" applyAlignment="1">
      <alignment horizontal="center" vertical="center" wrapText="1"/>
    </xf>
    <xf numFmtId="165" fontId="2" fillId="0" borderId="11" xfId="0" applyNumberFormat="1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8" fillId="8" borderId="51" xfId="0" applyFont="1" applyFill="1" applyBorder="1" applyAlignment="1">
      <alignment vertical="center" wrapText="1"/>
    </xf>
    <xf numFmtId="0" fontId="0" fillId="0" borderId="35" xfId="0" applyBorder="1"/>
    <xf numFmtId="0" fontId="0" fillId="0" borderId="46" xfId="0" applyBorder="1"/>
    <xf numFmtId="0" fontId="0" fillId="0" borderId="42" xfId="0" applyBorder="1"/>
    <xf numFmtId="0" fontId="0" fillId="0" borderId="48" xfId="0" applyBorder="1"/>
    <xf numFmtId="0" fontId="0" fillId="0" borderId="43" xfId="0" applyBorder="1"/>
    <xf numFmtId="0" fontId="0" fillId="0" borderId="45" xfId="0" applyBorder="1"/>
    <xf numFmtId="0" fontId="0" fillId="0" borderId="51" xfId="0" applyBorder="1"/>
    <xf numFmtId="0" fontId="0" fillId="0" borderId="44" xfId="0" applyBorder="1"/>
    <xf numFmtId="0" fontId="13" fillId="11" borderId="4" xfId="0" applyFont="1" applyFill="1" applyBorder="1" applyAlignment="1">
      <alignment horizontal="center" vertical="center" wrapText="1"/>
    </xf>
    <xf numFmtId="165" fontId="15" fillId="4" borderId="46" xfId="0" applyNumberFormat="1" applyFont="1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15" fillId="4" borderId="51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35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15" fillId="4" borderId="35" xfId="0" applyFont="1" applyFill="1" applyBorder="1" applyAlignment="1">
      <alignment horizontal="right" vertical="center" wrapText="1"/>
    </xf>
    <xf numFmtId="0" fontId="15" fillId="4" borderId="46" xfId="0" applyFont="1" applyFill="1" applyBorder="1" applyAlignment="1">
      <alignment horizontal="right" vertical="center" wrapText="1"/>
    </xf>
    <xf numFmtId="0" fontId="15" fillId="4" borderId="48" xfId="0" applyFont="1" applyFill="1" applyBorder="1" applyAlignment="1">
      <alignment horizontal="right" vertical="center" wrapText="1"/>
    </xf>
    <xf numFmtId="0" fontId="15" fillId="4" borderId="0" xfId="0" applyFont="1" applyFill="1" applyAlignment="1">
      <alignment horizontal="right" vertical="center" wrapText="1"/>
    </xf>
    <xf numFmtId="0" fontId="15" fillId="4" borderId="45" xfId="0" applyFont="1" applyFill="1" applyBorder="1" applyAlignment="1">
      <alignment horizontal="right" vertical="center" wrapText="1"/>
    </xf>
    <xf numFmtId="0" fontId="15" fillId="4" borderId="51" xfId="0" applyFont="1" applyFill="1" applyBorder="1" applyAlignment="1">
      <alignment horizontal="righ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4" fillId="19" borderId="23" xfId="0" applyFont="1" applyFill="1" applyBorder="1" applyAlignment="1">
      <alignment horizontal="center" vertical="center"/>
    </xf>
    <xf numFmtId="0" fontId="24" fillId="19" borderId="24" xfId="0" applyFont="1" applyFill="1" applyBorder="1" applyAlignment="1">
      <alignment horizontal="center" vertical="center"/>
    </xf>
    <xf numFmtId="0" fontId="24" fillId="19" borderId="25" xfId="0" applyFont="1" applyFill="1" applyBorder="1" applyAlignment="1">
      <alignment horizontal="center" vertical="center"/>
    </xf>
    <xf numFmtId="0" fontId="24" fillId="19" borderId="22" xfId="0" applyFont="1" applyFill="1" applyBorder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24" fillId="19" borderId="26" xfId="0" applyFont="1" applyFill="1" applyBorder="1" applyAlignment="1">
      <alignment horizontal="center" vertical="center"/>
    </xf>
    <xf numFmtId="0" fontId="24" fillId="19" borderId="20" xfId="0" applyFont="1" applyFill="1" applyBorder="1" applyAlignment="1">
      <alignment horizontal="center" vertical="center"/>
    </xf>
    <xf numFmtId="0" fontId="24" fillId="19" borderId="19" xfId="0" applyFont="1" applyFill="1" applyBorder="1" applyAlignment="1">
      <alignment horizontal="center" vertical="center"/>
    </xf>
    <xf numFmtId="0" fontId="24" fillId="19" borderId="21" xfId="0" applyFont="1" applyFill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/>
    </xf>
    <xf numFmtId="0" fontId="8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right"/>
    </xf>
    <xf numFmtId="165" fontId="2" fillId="0" borderId="3" xfId="0" applyNumberFormat="1" applyFont="1" applyBorder="1" applyAlignment="1">
      <alignment horizontal="right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3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165" fontId="13" fillId="0" borderId="1" xfId="0" applyNumberFormat="1" applyFont="1" applyBorder="1" applyAlignment="1">
      <alignment horizontal="right" vertical="center"/>
    </xf>
    <xf numFmtId="165" fontId="13" fillId="0" borderId="3" xfId="0" applyNumberFormat="1" applyFont="1" applyBorder="1" applyAlignment="1">
      <alignment horizontal="right" vertical="center"/>
    </xf>
    <xf numFmtId="0" fontId="4" fillId="0" borderId="17" xfId="0" applyFont="1" applyBorder="1" applyAlignment="1">
      <alignment horizontal="center" vertical="center" textRotation="255" wrapText="1"/>
    </xf>
    <xf numFmtId="0" fontId="4" fillId="0" borderId="26" xfId="0" applyFont="1" applyBorder="1" applyAlignment="1">
      <alignment horizontal="center" vertical="center" textRotation="255" wrapText="1"/>
    </xf>
    <xf numFmtId="0" fontId="4" fillId="0" borderId="21" xfId="0" applyFont="1" applyBorder="1" applyAlignment="1">
      <alignment horizontal="center" vertical="center" textRotation="255" wrapText="1"/>
    </xf>
    <xf numFmtId="0" fontId="8" fillId="8" borderId="0" xfId="0" applyFont="1" applyFill="1" applyAlignment="1">
      <alignment horizontal="center" vertical="center"/>
    </xf>
    <xf numFmtId="0" fontId="8" fillId="8" borderId="26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165" fontId="2" fillId="0" borderId="11" xfId="0" applyNumberFormat="1" applyFont="1" applyBorder="1" applyAlignment="1">
      <alignment horizontal="right"/>
    </xf>
    <xf numFmtId="165" fontId="2" fillId="0" borderId="12" xfId="0" applyNumberFormat="1" applyFont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40" xfId="0" applyFont="1" applyBorder="1" applyAlignment="1">
      <alignment horizontal="right"/>
    </xf>
    <xf numFmtId="0" fontId="8" fillId="8" borderId="52" xfId="0" applyFont="1" applyFill="1" applyBorder="1" applyAlignment="1">
      <alignment horizontal="right" vertical="center" wrapText="1"/>
    </xf>
    <xf numFmtId="0" fontId="8" fillId="8" borderId="53" xfId="0" applyFont="1" applyFill="1" applyBorder="1" applyAlignment="1">
      <alignment horizontal="right" vertical="center" wrapText="1"/>
    </xf>
    <xf numFmtId="0" fontId="12" fillId="0" borderId="34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165" fontId="13" fillId="0" borderId="34" xfId="0" applyNumberFormat="1" applyFont="1" applyBorder="1" applyAlignment="1">
      <alignment horizontal="right" vertical="center"/>
    </xf>
    <xf numFmtId="165" fontId="13" fillId="0" borderId="32" xfId="0" applyNumberFormat="1" applyFont="1" applyBorder="1" applyAlignment="1">
      <alignment horizontal="right" vertical="center"/>
    </xf>
    <xf numFmtId="0" fontId="7" fillId="5" borderId="23" xfId="0" applyFont="1" applyFill="1" applyBorder="1" applyAlignment="1">
      <alignment horizontal="right" vertical="center"/>
    </xf>
    <xf numFmtId="0" fontId="7" fillId="5" borderId="24" xfId="0" applyFont="1" applyFill="1" applyBorder="1" applyAlignment="1">
      <alignment horizontal="right" vertical="center"/>
    </xf>
    <xf numFmtId="0" fontId="7" fillId="5" borderId="20" xfId="0" applyFont="1" applyFill="1" applyBorder="1" applyAlignment="1">
      <alignment horizontal="right" vertical="center"/>
    </xf>
    <xf numFmtId="0" fontId="7" fillId="5" borderId="19" xfId="0" applyFont="1" applyFill="1" applyBorder="1" applyAlignment="1">
      <alignment horizontal="right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3" fillId="7" borderId="34" xfId="0" applyFont="1" applyFill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165" fontId="23" fillId="10" borderId="34" xfId="0" applyNumberFormat="1" applyFont="1" applyFill="1" applyBorder="1" applyAlignment="1">
      <alignment horizontal="center"/>
    </xf>
    <xf numFmtId="0" fontId="23" fillId="10" borderId="34" xfId="0" applyFont="1" applyFill="1" applyBorder="1" applyAlignment="1">
      <alignment horizontal="center"/>
    </xf>
    <xf numFmtId="165" fontId="3" fillId="0" borderId="34" xfId="0" applyNumberFormat="1" applyFont="1" applyBorder="1" applyAlignment="1">
      <alignment horizontal="right"/>
    </xf>
    <xf numFmtId="165" fontId="4" fillId="4" borderId="40" xfId="0" applyNumberFormat="1" applyFont="1" applyFill="1" applyBorder="1" applyAlignment="1">
      <alignment horizontal="center" vertical="center" wrapText="1"/>
    </xf>
    <xf numFmtId="165" fontId="4" fillId="4" borderId="41" xfId="0" applyNumberFormat="1" applyFont="1" applyFill="1" applyBorder="1" applyAlignment="1">
      <alignment horizontal="center" vertical="center" wrapText="1"/>
    </xf>
    <xf numFmtId="0" fontId="4" fillId="4" borderId="31" xfId="0" applyFont="1" applyFill="1" applyBorder="1" applyAlignment="1">
      <alignment horizontal="right" vertical="center" wrapText="1"/>
    </xf>
    <xf numFmtId="0" fontId="4" fillId="4" borderId="40" xfId="0" applyFont="1" applyFill="1" applyBorder="1" applyAlignment="1">
      <alignment horizontal="right" vertical="center" wrapText="1"/>
    </xf>
    <xf numFmtId="0" fontId="17" fillId="20" borderId="31" xfId="0" applyFont="1" applyFill="1" applyBorder="1" applyAlignment="1">
      <alignment horizontal="center" vertical="center" wrapText="1"/>
    </xf>
    <xf numFmtId="0" fontId="17" fillId="20" borderId="40" xfId="0" applyFont="1" applyFill="1" applyBorder="1" applyAlignment="1">
      <alignment horizontal="center" vertical="center" wrapText="1"/>
    </xf>
    <xf numFmtId="0" fontId="17" fillId="20" borderId="41" xfId="0" applyFont="1" applyFill="1" applyBorder="1" applyAlignment="1">
      <alignment horizontal="center" vertical="center" wrapText="1"/>
    </xf>
    <xf numFmtId="0" fontId="17" fillId="20" borderId="31" xfId="0" applyFont="1" applyFill="1" applyBorder="1" applyAlignment="1">
      <alignment horizontal="center" vertical="center"/>
    </xf>
    <xf numFmtId="0" fontId="17" fillId="20" borderId="40" xfId="0" applyFont="1" applyFill="1" applyBorder="1" applyAlignment="1">
      <alignment horizontal="center" vertical="center"/>
    </xf>
    <xf numFmtId="0" fontId="17" fillId="20" borderId="41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/>
    </xf>
    <xf numFmtId="0" fontId="17" fillId="20" borderId="31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165" fontId="3" fillId="0" borderId="39" xfId="0" applyNumberFormat="1" applyFont="1" applyBorder="1" applyAlignment="1">
      <alignment horizontal="right"/>
    </xf>
    <xf numFmtId="0" fontId="3" fillId="0" borderId="39" xfId="0" applyFont="1" applyBorder="1" applyAlignment="1">
      <alignment horizontal="right"/>
    </xf>
    <xf numFmtId="165" fontId="3" fillId="0" borderId="11" xfId="0" applyNumberFormat="1" applyFont="1" applyBorder="1" applyAlignment="1">
      <alignment horizontal="right"/>
    </xf>
    <xf numFmtId="0" fontId="3" fillId="0" borderId="11" xfId="0" applyFont="1" applyBorder="1" applyAlignment="1">
      <alignment horizontal="right"/>
    </xf>
    <xf numFmtId="0" fontId="16" fillId="10" borderId="11" xfId="0" applyFont="1" applyFill="1" applyBorder="1" applyAlignment="1">
      <alignment horizontal="center"/>
    </xf>
    <xf numFmtId="0" fontId="34" fillId="22" borderId="11" xfId="0" applyFont="1" applyFill="1" applyBorder="1" applyAlignment="1">
      <alignment horizontal="center"/>
    </xf>
    <xf numFmtId="0" fontId="16" fillId="10" borderId="11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 wrapText="1"/>
    </xf>
    <xf numFmtId="0" fontId="7" fillId="3" borderId="3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165" fontId="6" fillId="4" borderId="2" xfId="0" applyNumberFormat="1" applyFont="1" applyFill="1" applyBorder="1" applyAlignment="1">
      <alignment horizontal="center"/>
    </xf>
    <xf numFmtId="165" fontId="6" fillId="4" borderId="3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6" fillId="4" borderId="3" xfId="0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2" fillId="4" borderId="2" xfId="0" applyFont="1" applyFill="1" applyBorder="1" applyAlignment="1">
      <alignment horizontal="right"/>
    </xf>
    <xf numFmtId="0" fontId="2" fillId="0" borderId="4" xfId="0" applyFont="1" applyBorder="1" applyAlignment="1">
      <alignment horizontal="center"/>
    </xf>
    <xf numFmtId="0" fontId="6" fillId="9" borderId="23" xfId="0" applyFont="1" applyFill="1" applyBorder="1" applyAlignment="1">
      <alignment horizontal="center" vertical="center" wrapText="1"/>
    </xf>
    <xf numFmtId="0" fontId="6" fillId="9" borderId="24" xfId="0" applyFont="1" applyFill="1" applyBorder="1" applyAlignment="1">
      <alignment horizontal="center" vertical="center" wrapText="1"/>
    </xf>
    <xf numFmtId="0" fontId="6" fillId="9" borderId="25" xfId="0" applyFont="1" applyFill="1" applyBorder="1" applyAlignment="1">
      <alignment horizontal="center" vertical="center" wrapText="1"/>
    </xf>
    <xf numFmtId="0" fontId="6" fillId="9" borderId="20" xfId="0" applyFont="1" applyFill="1" applyBorder="1" applyAlignment="1">
      <alignment horizontal="center" vertical="center" wrapText="1"/>
    </xf>
    <xf numFmtId="0" fontId="6" fillId="9" borderId="19" xfId="0" applyFont="1" applyFill="1" applyBorder="1" applyAlignment="1">
      <alignment horizontal="center" vertical="center" wrapText="1"/>
    </xf>
    <xf numFmtId="0" fontId="6" fillId="9" borderId="21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24" fillId="6" borderId="23" xfId="0" applyFont="1" applyFill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5" fillId="6" borderId="25" xfId="0" applyFont="1" applyFill="1" applyBorder="1" applyAlignment="1">
      <alignment horizontal="center" vertical="center"/>
    </xf>
    <xf numFmtId="0" fontId="25" fillId="6" borderId="22" xfId="0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25" fillId="6" borderId="20" xfId="0" applyFont="1" applyFill="1" applyBorder="1" applyAlignment="1">
      <alignment horizontal="center" vertical="center"/>
    </xf>
    <xf numFmtId="0" fontId="25" fillId="6" borderId="19" xfId="0" applyFont="1" applyFill="1" applyBorder="1" applyAlignment="1">
      <alignment horizontal="center" vertical="center"/>
    </xf>
    <xf numFmtId="0" fontId="25" fillId="6" borderId="2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4" fillId="7" borderId="23" xfId="0" applyFont="1" applyFill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7" borderId="22" xfId="0" applyFont="1" applyFill="1" applyBorder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7" borderId="26" xfId="0" applyFont="1" applyFill="1" applyBorder="1" applyAlignment="1">
      <alignment horizontal="center" vertical="center"/>
    </xf>
    <xf numFmtId="0" fontId="24" fillId="7" borderId="20" xfId="0" applyFont="1" applyFill="1" applyBorder="1" applyAlignment="1">
      <alignment horizontal="center" vertical="center"/>
    </xf>
    <xf numFmtId="0" fontId="24" fillId="7" borderId="19" xfId="0" applyFont="1" applyFill="1" applyBorder="1" applyAlignment="1">
      <alignment horizontal="center" vertical="center"/>
    </xf>
    <xf numFmtId="0" fontId="24" fillId="7" borderId="21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6" fillId="2" borderId="34" xfId="0" applyFont="1" applyFill="1" applyBorder="1" applyAlignment="1">
      <alignment horizontal="center" vertical="center"/>
    </xf>
    <xf numFmtId="0" fontId="2" fillId="0" borderId="41" xfId="0" applyFont="1" applyBorder="1" applyAlignment="1">
      <alignment horizontal="center"/>
    </xf>
    <xf numFmtId="0" fontId="26" fillId="0" borderId="23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/>
    </xf>
    <xf numFmtId="0" fontId="7" fillId="3" borderId="39" xfId="0" applyFont="1" applyFill="1" applyBorder="1" applyAlignment="1">
      <alignment horizontal="center"/>
    </xf>
    <xf numFmtId="0" fontId="9" fillId="0" borderId="3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right" vertical="center"/>
    </xf>
    <xf numFmtId="0" fontId="6" fillId="5" borderId="2" xfId="0" applyFont="1" applyFill="1" applyBorder="1" applyAlignment="1">
      <alignment horizontal="right" vertical="center"/>
    </xf>
    <xf numFmtId="0" fontId="2" fillId="0" borderId="14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7" fillId="3" borderId="11" xfId="0" applyFont="1" applyFill="1" applyBorder="1" applyAlignment="1">
      <alignment horizontal="center"/>
    </xf>
    <xf numFmtId="0" fontId="8" fillId="7" borderId="22" xfId="0" applyFont="1" applyFill="1" applyBorder="1" applyAlignment="1">
      <alignment horizontal="right" vertical="center"/>
    </xf>
    <xf numFmtId="0" fontId="8" fillId="7" borderId="0" xfId="0" applyFont="1" applyFill="1" applyAlignment="1">
      <alignment horizontal="right" vertical="center"/>
    </xf>
    <xf numFmtId="0" fontId="8" fillId="7" borderId="0" xfId="0" applyFont="1" applyFill="1" applyAlignment="1">
      <alignment horizontal="center" vertical="center"/>
    </xf>
    <xf numFmtId="0" fontId="8" fillId="7" borderId="26" xfId="0" applyFont="1" applyFill="1" applyBorder="1" applyAlignment="1">
      <alignment horizontal="center" vertical="center"/>
    </xf>
    <xf numFmtId="0" fontId="16" fillId="2" borderId="38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33" xfId="0" applyFont="1" applyFill="1" applyBorder="1" applyAlignment="1">
      <alignment horizontal="center" vertical="center"/>
    </xf>
    <xf numFmtId="0" fontId="15" fillId="4" borderId="11" xfId="0" applyFont="1" applyFill="1" applyBorder="1" applyAlignment="1">
      <alignment horizontal="right" vertical="center" wrapText="1"/>
    </xf>
    <xf numFmtId="0" fontId="15" fillId="4" borderId="31" xfId="0" applyFont="1" applyFill="1" applyBorder="1" applyAlignment="1">
      <alignment horizontal="right" vertical="center" wrapText="1"/>
    </xf>
    <xf numFmtId="165" fontId="7" fillId="4" borderId="42" xfId="0" applyNumberFormat="1" applyFont="1" applyFill="1" applyBorder="1" applyAlignment="1">
      <alignment horizontal="center" vertical="center" wrapText="1"/>
    </xf>
    <xf numFmtId="165" fontId="7" fillId="4" borderId="43" xfId="0" applyNumberFormat="1" applyFont="1" applyFill="1" applyBorder="1" applyAlignment="1">
      <alignment horizontal="center" vertical="center" wrapText="1"/>
    </xf>
    <xf numFmtId="165" fontId="7" fillId="4" borderId="44" xfId="0" applyNumberFormat="1" applyFont="1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6" fillId="4" borderId="34" xfId="0" applyFont="1" applyFill="1" applyBorder="1" applyAlignment="1">
      <alignment horizontal="right" vertical="center" wrapText="1"/>
    </xf>
    <xf numFmtId="0" fontId="2" fillId="4" borderId="35" xfId="0" applyFont="1" applyFill="1" applyBorder="1" applyAlignment="1">
      <alignment horizontal="right" vertical="center" wrapText="1"/>
    </xf>
    <xf numFmtId="0" fontId="2" fillId="0" borderId="14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/>
    </xf>
    <xf numFmtId="0" fontId="6" fillId="4" borderId="11" xfId="0" applyFont="1" applyFill="1" applyBorder="1" applyAlignment="1">
      <alignment horizontal="right" vertical="center" wrapText="1"/>
    </xf>
    <xf numFmtId="0" fontId="2" fillId="4" borderId="31" xfId="0" applyFont="1" applyFill="1" applyBorder="1" applyAlignment="1">
      <alignment horizontal="right" vertical="center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17" fontId="2" fillId="0" borderId="37" xfId="0" applyNumberFormat="1" applyFont="1" applyBorder="1" applyAlignment="1">
      <alignment horizontal="center" vertical="top" wrapText="1"/>
    </xf>
    <xf numFmtId="17" fontId="2" fillId="0" borderId="34" xfId="0" applyNumberFormat="1" applyFont="1" applyBorder="1" applyAlignment="1">
      <alignment horizontal="center" vertical="top" wrapText="1"/>
    </xf>
    <xf numFmtId="17" fontId="2" fillId="0" borderId="32" xfId="0" applyNumberFormat="1" applyFont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17" fontId="2" fillId="0" borderId="40" xfId="0" applyNumberFormat="1" applyFont="1" applyBorder="1" applyAlignment="1">
      <alignment horizontal="center" vertical="top" wrapText="1"/>
    </xf>
    <xf numFmtId="17" fontId="2" fillId="0" borderId="41" xfId="0" applyNumberFormat="1" applyFont="1" applyBorder="1" applyAlignment="1">
      <alignment horizontal="center" vertical="top" wrapText="1"/>
    </xf>
    <xf numFmtId="17" fontId="2" fillId="0" borderId="40" xfId="0" applyNumberFormat="1" applyFont="1" applyBorder="1" applyAlignment="1">
      <alignment horizontal="center" vertical="center" wrapText="1"/>
    </xf>
    <xf numFmtId="17" fontId="2" fillId="0" borderId="41" xfId="0" applyNumberFormat="1" applyFont="1" applyBorder="1" applyAlignment="1">
      <alignment horizontal="center" vertical="center" wrapText="1"/>
    </xf>
    <xf numFmtId="0" fontId="6" fillId="4" borderId="31" xfId="0" applyFont="1" applyFill="1" applyBorder="1" applyAlignment="1">
      <alignment horizontal="right" vertical="center" wrapText="1"/>
    </xf>
    <xf numFmtId="0" fontId="6" fillId="4" borderId="40" xfId="0" applyFont="1" applyFill="1" applyBorder="1" applyAlignment="1">
      <alignment horizontal="right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/>
    </xf>
    <xf numFmtId="165" fontId="29" fillId="4" borderId="19" xfId="0" applyNumberFormat="1" applyFont="1" applyFill="1" applyBorder="1" applyAlignment="1">
      <alignment horizontal="center" vertical="center" wrapText="1"/>
    </xf>
    <xf numFmtId="0" fontId="29" fillId="4" borderId="21" xfId="0" applyFont="1" applyFill="1" applyBorder="1" applyAlignment="1">
      <alignment horizontal="center" vertical="center" wrapText="1"/>
    </xf>
    <xf numFmtId="0" fontId="8" fillId="6" borderId="11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/>
    </xf>
    <xf numFmtId="0" fontId="8" fillId="19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/>
    </xf>
    <xf numFmtId="17" fontId="3" fillId="0" borderId="7" xfId="0" applyNumberFormat="1" applyFont="1" applyBorder="1" applyAlignment="1">
      <alignment horizontal="center" vertical="center" wrapText="1"/>
    </xf>
    <xf numFmtId="17" fontId="3" fillId="0" borderId="8" xfId="0" applyNumberFormat="1" applyFont="1" applyBorder="1" applyAlignment="1">
      <alignment horizontal="center" vertical="center" wrapText="1"/>
    </xf>
    <xf numFmtId="17" fontId="3" fillId="0" borderId="9" xfId="0" applyNumberFormat="1" applyFont="1" applyBorder="1" applyAlignment="1">
      <alignment horizontal="center" vertical="center" wrapText="1"/>
    </xf>
    <xf numFmtId="17" fontId="2" fillId="0" borderId="37" xfId="0" applyNumberFormat="1" applyFont="1" applyBorder="1" applyAlignment="1">
      <alignment horizontal="center" vertical="center" wrapText="1"/>
    </xf>
    <xf numFmtId="17" fontId="2" fillId="0" borderId="34" xfId="0" applyNumberFormat="1" applyFont="1" applyBorder="1" applyAlignment="1">
      <alignment horizontal="center" vertical="center" wrapText="1"/>
    </xf>
    <xf numFmtId="17" fontId="2" fillId="0" borderId="32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2" fillId="0" borderId="37" xfId="0" applyFont="1" applyBorder="1" applyAlignment="1">
      <alignment horizontal="center" vertical="top" wrapText="1"/>
    </xf>
    <xf numFmtId="0" fontId="0" fillId="0" borderId="34" xfId="0" applyBorder="1" applyAlignment="1">
      <alignment horizontal="center" vertical="top" wrapText="1"/>
    </xf>
    <xf numFmtId="0" fontId="0" fillId="0" borderId="32" xfId="0" applyBorder="1" applyAlignment="1">
      <alignment horizontal="center" vertical="top" wrapText="1"/>
    </xf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9" borderId="22" xfId="0" applyFont="1" applyFill="1" applyBorder="1" applyAlignment="1">
      <alignment horizontal="right" vertical="center"/>
    </xf>
    <xf numFmtId="0" fontId="8" fillId="19" borderId="0" xfId="0" applyFont="1" applyFill="1" applyAlignment="1">
      <alignment horizontal="right" vertical="center"/>
    </xf>
    <xf numFmtId="0" fontId="8" fillId="6" borderId="23" xfId="0" applyFont="1" applyFill="1" applyBorder="1" applyAlignment="1">
      <alignment horizontal="right" vertical="center"/>
    </xf>
    <xf numFmtId="0" fontId="8" fillId="6" borderId="24" xfId="0" applyFont="1" applyFill="1" applyBorder="1" applyAlignment="1">
      <alignment horizontal="right" vertical="center"/>
    </xf>
    <xf numFmtId="0" fontId="8" fillId="19" borderId="0" xfId="0" applyFont="1" applyFill="1" applyAlignment="1">
      <alignment horizontal="center" vertical="center"/>
    </xf>
    <xf numFmtId="0" fontId="8" fillId="19" borderId="26" xfId="0" applyFont="1" applyFill="1" applyBorder="1" applyAlignment="1">
      <alignment horizontal="center" vertical="center"/>
    </xf>
    <xf numFmtId="165" fontId="6" fillId="4" borderId="40" xfId="0" applyNumberFormat="1" applyFont="1" applyFill="1" applyBorder="1" applyAlignment="1">
      <alignment horizontal="center" vertical="center" wrapText="1"/>
    </xf>
    <xf numFmtId="165" fontId="6" fillId="4" borderId="41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21" borderId="23" xfId="0" applyFont="1" applyFill="1" applyBorder="1" applyAlignment="1">
      <alignment horizontal="center" vertical="center" wrapText="1"/>
    </xf>
    <xf numFmtId="0" fontId="2" fillId="21" borderId="25" xfId="0" applyFont="1" applyFill="1" applyBorder="1" applyAlignment="1">
      <alignment horizontal="center" vertical="center" wrapText="1"/>
    </xf>
    <xf numFmtId="0" fontId="2" fillId="21" borderId="20" xfId="0" applyFont="1" applyFill="1" applyBorder="1" applyAlignment="1">
      <alignment horizontal="center" vertical="center" wrapText="1"/>
    </xf>
    <xf numFmtId="0" fontId="2" fillId="21" borderId="21" xfId="0" applyFont="1" applyFill="1" applyBorder="1" applyAlignment="1">
      <alignment horizontal="center" vertical="center" wrapText="1"/>
    </xf>
    <xf numFmtId="0" fontId="2" fillId="21" borderId="17" xfId="0" applyFont="1" applyFill="1" applyBorder="1" applyAlignment="1">
      <alignment horizontal="center" vertical="center" wrapText="1"/>
    </xf>
    <xf numFmtId="0" fontId="2" fillId="21" borderId="18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2" fillId="17" borderId="23" xfId="0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2" fillId="17" borderId="25" xfId="0" applyFont="1" applyFill="1" applyBorder="1" applyAlignment="1">
      <alignment horizontal="center" vertical="center" wrapText="1"/>
    </xf>
    <xf numFmtId="0" fontId="2" fillId="17" borderId="20" xfId="0" applyFont="1" applyFill="1" applyBorder="1" applyAlignment="1">
      <alignment horizontal="center" vertical="center" wrapText="1"/>
    </xf>
    <xf numFmtId="0" fontId="2" fillId="17" borderId="19" xfId="0" applyFont="1" applyFill="1" applyBorder="1" applyAlignment="1">
      <alignment horizontal="center" vertical="center" wrapText="1"/>
    </xf>
    <xf numFmtId="0" fontId="2" fillId="17" borderId="21" xfId="0" applyFont="1" applyFill="1" applyBorder="1" applyAlignment="1">
      <alignment horizontal="center" vertical="center" wrapText="1"/>
    </xf>
    <xf numFmtId="17" fontId="7" fillId="0" borderId="1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2" fillId="12" borderId="17" xfId="0" applyFont="1" applyFill="1" applyBorder="1" applyAlignment="1">
      <alignment horizontal="center" vertical="center" wrapText="1"/>
    </xf>
    <xf numFmtId="0" fontId="2" fillId="12" borderId="18" xfId="0" applyFont="1" applyFill="1" applyBorder="1" applyAlignment="1">
      <alignment horizontal="center" vertical="center" wrapText="1"/>
    </xf>
    <xf numFmtId="0" fontId="5" fillId="12" borderId="17" xfId="0" applyFont="1" applyFill="1" applyBorder="1" applyAlignment="1">
      <alignment horizontal="center" vertical="center" wrapText="1"/>
    </xf>
    <xf numFmtId="0" fontId="5" fillId="12" borderId="18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 vertical="center" wrapText="1"/>
    </xf>
    <xf numFmtId="0" fontId="5" fillId="14" borderId="18" xfId="0" applyFont="1" applyFill="1" applyBorder="1" applyAlignment="1">
      <alignment horizontal="center" vertical="center" wrapText="1"/>
    </xf>
    <xf numFmtId="0" fontId="2" fillId="14" borderId="4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" fillId="15" borderId="3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0" xfId="0" applyFont="1" applyFill="1" applyBorder="1" applyAlignment="1">
      <alignment horizontal="center" vertical="center" wrapText="1"/>
    </xf>
    <xf numFmtId="0" fontId="2" fillId="16" borderId="2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20" fillId="0" borderId="20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3" fillId="11" borderId="17" xfId="0" applyFont="1" applyFill="1" applyBorder="1" applyAlignment="1">
      <alignment horizontal="center" vertical="center" wrapText="1"/>
    </xf>
    <xf numFmtId="0" fontId="13" fillId="11" borderId="18" xfId="0" applyFont="1" applyFill="1" applyBorder="1" applyAlignment="1">
      <alignment horizontal="center" vertical="center" wrapText="1"/>
    </xf>
    <xf numFmtId="0" fontId="13" fillId="11" borderId="23" xfId="0" applyFont="1" applyFill="1" applyBorder="1" applyAlignment="1">
      <alignment horizontal="center" vertical="center" wrapText="1"/>
    </xf>
    <xf numFmtId="0" fontId="13" fillId="11" borderId="20" xfId="0" applyFont="1" applyFill="1" applyBorder="1" applyAlignment="1">
      <alignment horizontal="center" vertical="center" wrapText="1"/>
    </xf>
    <xf numFmtId="0" fontId="13" fillId="11" borderId="17" xfId="0" applyFont="1" applyFill="1" applyBorder="1" applyAlignment="1">
      <alignment horizontal="center" vertical="center"/>
    </xf>
    <xf numFmtId="0" fontId="13" fillId="11" borderId="1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2" fillId="14" borderId="2" xfId="0" applyFont="1" applyFill="1" applyBorder="1" applyAlignment="1">
      <alignment horizontal="center"/>
    </xf>
  </cellXfs>
  <cellStyles count="3">
    <cellStyle name="Hipervínculo" xfId="2" builtinId="8"/>
    <cellStyle name="Moneda 2" xfId="1" xr:uid="{00000000-0005-0000-0000-000001000000}"/>
    <cellStyle name="Normal" xfId="0" builtinId="0"/>
  </cellStyles>
  <dxfs count="1865"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1FFCA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1FFCA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1FFCA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1FFCA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5FBC3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1FFCA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1FFCA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270">
          <stop position="0">
            <color theme="0"/>
          </stop>
          <stop position="1">
            <color theme="9" tint="0.40000610370189521"/>
          </stop>
        </gradientFill>
      </fill>
    </dxf>
    <dxf>
      <font>
        <b/>
        <i val="0"/>
      </font>
      <fill>
        <gradientFill degree="90">
          <stop position="0">
            <color theme="9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0.80001220740379042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rgb="FF21FFCA"/>
          </stop>
        </gradientFill>
      </fill>
    </dxf>
    <dxf>
      <font>
        <b/>
        <i val="0"/>
      </font>
      <fill>
        <gradientFill degree="90">
          <stop position="0">
            <color theme="2"/>
          </stop>
          <stop position="1">
            <color theme="2" tint="-9.8025452436902985E-2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90"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</font>
      <fill>
        <gradientFill degree="90">
          <stop position="0">
            <color theme="9" tint="0.40000610370189521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  <dxf>
      <font>
        <b/>
        <i val="0"/>
      </font>
      <fill>
        <gradientFill degree="90">
          <stop position="0">
            <color theme="6" tint="0.59999389629810485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D66F36"/>
      <color rgb="FFF3FEB2"/>
      <color rgb="FFC2F814"/>
      <color rgb="FFC6E917"/>
      <color rgb="FF25FBC3"/>
      <color rgb="FF21F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61777</xdr:colOff>
      <xdr:row>21</xdr:row>
      <xdr:rowOff>22924</xdr:rowOff>
    </xdr:from>
    <xdr:to>
      <xdr:col>6</xdr:col>
      <xdr:colOff>605377</xdr:colOff>
      <xdr:row>21</xdr:row>
      <xdr:rowOff>426124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3452" y="5366449"/>
          <a:ext cx="543600" cy="4032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7</xdr:col>
      <xdr:colOff>67653</xdr:colOff>
      <xdr:row>3</xdr:row>
      <xdr:rowOff>21623</xdr:rowOff>
    </xdr:from>
    <xdr:to>
      <xdr:col>8</xdr:col>
      <xdr:colOff>447675</xdr:colOff>
      <xdr:row>3</xdr:row>
      <xdr:rowOff>419100</xdr:rowOff>
    </xdr:to>
    <xdr:grpSp>
      <xdr:nvGrpSpPr>
        <xdr:cNvPr id="8" name="7 Grup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7239978" y="1164623"/>
          <a:ext cx="1170597" cy="397477"/>
          <a:chOff x="239814" y="524096"/>
          <a:chExt cx="1108585" cy="408466"/>
        </a:xfrm>
      </xdr:grpSpPr>
      <xdr:pic>
        <xdr:nvPicPr>
          <xdr:cNvPr id="4" name="3 Imagen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814" y="529362"/>
            <a:ext cx="501225" cy="403200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  <xdr:pic>
        <xdr:nvPicPr>
          <xdr:cNvPr id="5" name="4 Imagen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7561" y="524096"/>
            <a:ext cx="500838" cy="403200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</xdr:grpSp>
    <xdr:clientData/>
  </xdr:twoCellAnchor>
  <xdr:twoCellAnchor>
    <xdr:from>
      <xdr:col>6</xdr:col>
      <xdr:colOff>52076</xdr:colOff>
      <xdr:row>37</xdr:row>
      <xdr:rowOff>21327</xdr:rowOff>
    </xdr:from>
    <xdr:to>
      <xdr:col>6</xdr:col>
      <xdr:colOff>595281</xdr:colOff>
      <xdr:row>37</xdr:row>
      <xdr:rowOff>425052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3751" y="8793852"/>
          <a:ext cx="543205" cy="4037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6</xdr:col>
      <xdr:colOff>971549</xdr:colOff>
      <xdr:row>53</xdr:row>
      <xdr:rowOff>47626</xdr:rowOff>
    </xdr:from>
    <xdr:to>
      <xdr:col>7</xdr:col>
      <xdr:colOff>257956</xdr:colOff>
      <xdr:row>53</xdr:row>
      <xdr:rowOff>450826</xdr:rowOff>
    </xdr:to>
    <xdr:pic>
      <xdr:nvPicPr>
        <xdr:cNvPr id="12" name="11 Imagen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252"/>
        <a:stretch/>
      </xdr:blipFill>
      <xdr:spPr>
        <a:xfrm>
          <a:off x="6753224" y="12620626"/>
          <a:ext cx="543600" cy="403200"/>
        </a:xfrm>
        <a:prstGeom prst="roundRect">
          <a:avLst>
            <a:gd name="adj" fmla="val 16667"/>
          </a:avLst>
        </a:prstGeom>
        <a:ln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</xdr:row>
          <xdr:rowOff>19050</xdr:rowOff>
        </xdr:from>
        <xdr:to>
          <xdr:col>10</xdr:col>
          <xdr:colOff>1095375</xdr:colOff>
          <xdr:row>1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Presione Aquí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55885</xdr:colOff>
      <xdr:row>0</xdr:row>
      <xdr:rowOff>207620</xdr:rowOff>
    </xdr:from>
    <xdr:to>
      <xdr:col>6</xdr:col>
      <xdr:colOff>922460</xdr:colOff>
      <xdr:row>1</xdr:row>
      <xdr:rowOff>219565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127" b="28843"/>
        <a:stretch/>
      </xdr:blipFill>
      <xdr:spPr>
        <a:xfrm>
          <a:off x="5837560" y="207620"/>
          <a:ext cx="866575" cy="411995"/>
        </a:xfrm>
        <a:prstGeom prst="rect">
          <a:avLst/>
        </a:prstGeom>
      </xdr:spPr>
    </xdr:pic>
    <xdr:clientData/>
  </xdr:twoCellAnchor>
  <xdr:twoCellAnchor>
    <xdr:from>
      <xdr:col>6</xdr:col>
      <xdr:colOff>409575</xdr:colOff>
      <xdr:row>83</xdr:row>
      <xdr:rowOff>47625</xdr:rowOff>
    </xdr:from>
    <xdr:to>
      <xdr:col>8</xdr:col>
      <xdr:colOff>819150</xdr:colOff>
      <xdr:row>83</xdr:row>
      <xdr:rowOff>451350</xdr:rowOff>
    </xdr:to>
    <xdr:grpSp>
      <xdr:nvGrpSpPr>
        <xdr:cNvPr id="11" name="10 Grup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334125" y="19402425"/>
          <a:ext cx="2447925" cy="403725"/>
          <a:chOff x="7172325" y="18754725"/>
          <a:chExt cx="2533930" cy="403725"/>
        </a:xfrm>
      </xdr:grpSpPr>
      <xdr:grpSp>
        <xdr:nvGrpSpPr>
          <xdr:cNvPr id="13" name="12 Grupo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7172325" y="18754725"/>
            <a:ext cx="1227747" cy="397477"/>
            <a:chOff x="239814" y="524096"/>
            <a:chExt cx="1108585" cy="408466"/>
          </a:xfrm>
        </xdr:grpSpPr>
        <xdr:pic>
          <xdr:nvPicPr>
            <xdr:cNvPr id="14" name="13 Imagen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9814" y="529362"/>
              <a:ext cx="501225" cy="403200"/>
            </a:xfrm>
            <a:prstGeom prst="roundRect">
              <a:avLst>
                <a:gd name="adj" fmla="val 16667"/>
              </a:avLst>
            </a:prstGeom>
            <a:ln>
              <a:noFill/>
            </a:ln>
            <a:effectLst>
              <a:outerShdw blurRad="76200" dist="38100" dir="78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contrasting" dir="t">
                <a:rot lat="0" lon="0" rev="4200000"/>
              </a:lightRig>
            </a:scene3d>
            <a:sp3d prstMaterial="plastic">
              <a:bevelT w="381000" h="114300" prst="relaxedInset"/>
              <a:contourClr>
                <a:srgbClr val="969696"/>
              </a:contourClr>
            </a:sp3d>
          </xdr:spPr>
        </xdr:pic>
        <xdr:pic>
          <xdr:nvPicPr>
            <xdr:cNvPr id="15" name="14 Imagen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7561" y="524096"/>
              <a:ext cx="500838" cy="403200"/>
            </a:xfrm>
            <a:prstGeom prst="roundRect">
              <a:avLst>
                <a:gd name="adj" fmla="val 16667"/>
              </a:avLst>
            </a:prstGeom>
            <a:ln>
              <a:noFill/>
            </a:ln>
            <a:effectLst>
              <a:outerShdw blurRad="76200" dist="38100" dir="78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contrasting" dir="t">
                <a:rot lat="0" lon="0" rev="4200000"/>
              </a:lightRig>
            </a:scene3d>
            <a:sp3d prstMaterial="plastic">
              <a:bevelT w="381000" h="114300" prst="relaxedInset"/>
              <a:contourClr>
                <a:srgbClr val="969696"/>
              </a:contourClr>
            </a:sp3d>
          </xdr:spPr>
        </xdr:pic>
      </xdr:grpSp>
      <xdr:pic>
        <xdr:nvPicPr>
          <xdr:cNvPr id="16" name="15 Imagen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15350" y="18754725"/>
            <a:ext cx="543600" cy="403200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3050" y="18754725"/>
            <a:ext cx="543205" cy="403725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1019175</xdr:colOff>
          <xdr:row>0</xdr:row>
          <xdr:rowOff>85725</xdr:rowOff>
        </xdr:from>
        <xdr:to>
          <xdr:col>7</xdr:col>
          <xdr:colOff>704850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Bloquear</a:t>
              </a:r>
              <a:r>
                <a:rPr lang="es-CL" sz="7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1019175</xdr:colOff>
          <xdr:row>1</xdr:row>
          <xdr:rowOff>19050</xdr:rowOff>
        </xdr:from>
        <xdr:to>
          <xdr:col>7</xdr:col>
          <xdr:colOff>704850</xdr:colOff>
          <xdr:row>1</xdr:row>
          <xdr:rowOff>276225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200025</xdr:colOff>
      <xdr:row>83</xdr:row>
      <xdr:rowOff>66676</xdr:rowOff>
    </xdr:from>
    <xdr:to>
      <xdr:col>1</xdr:col>
      <xdr:colOff>219075</xdr:colOff>
      <xdr:row>83</xdr:row>
      <xdr:rowOff>457710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9307176"/>
          <a:ext cx="1343025" cy="39103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</xdr:row>
          <xdr:rowOff>47625</xdr:rowOff>
        </xdr:from>
        <xdr:to>
          <xdr:col>2</xdr:col>
          <xdr:colOff>923925</xdr:colOff>
          <xdr:row>2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7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Acueducto y Alcantarillado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</xdr:row>
          <xdr:rowOff>47625</xdr:rowOff>
        </xdr:from>
        <xdr:to>
          <xdr:col>3</xdr:col>
          <xdr:colOff>885825</xdr:colOff>
          <xdr:row>2</xdr:row>
          <xdr:rowOff>323850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Energía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47625</xdr:rowOff>
        </xdr:from>
        <xdr:to>
          <xdr:col>4</xdr:col>
          <xdr:colOff>914400</xdr:colOff>
          <xdr:row>2</xdr:row>
          <xdr:rowOff>323850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</xdr:row>
          <xdr:rowOff>47625</xdr:rowOff>
        </xdr:from>
        <xdr:to>
          <xdr:col>5</xdr:col>
          <xdr:colOff>828675</xdr:colOff>
          <xdr:row>2</xdr:row>
          <xdr:rowOff>323850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7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Alumbrado Público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</xdr:row>
          <xdr:rowOff>47625</xdr:rowOff>
        </xdr:from>
        <xdr:to>
          <xdr:col>6</xdr:col>
          <xdr:colOff>1047750</xdr:colOff>
          <xdr:row>2</xdr:row>
          <xdr:rowOff>323850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Aseo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polo.creg.gov.co/Publicac.nsf/Indice01/Resoluci%C3%B3n-2003-CREG011-2003" TargetMode="External"/><Relationship Id="rId13" Type="http://schemas.openxmlformats.org/officeDocument/2006/relationships/hyperlink" Target="http://www.epm.com.co/site/clientes_usuarios/Clientesyusuarios/Hogaresypersonas/Gasnatural/Tipsdeusointeligente.aspx" TargetMode="External"/><Relationship Id="rId18" Type="http://schemas.openxmlformats.org/officeDocument/2006/relationships/drawing" Target="../drawings/drawing1.xml"/><Relationship Id="rId26" Type="http://schemas.openxmlformats.org/officeDocument/2006/relationships/ctrlProp" Target="../ctrlProps/ctrlProp7.xml"/><Relationship Id="rId3" Type="http://schemas.openxmlformats.org/officeDocument/2006/relationships/hyperlink" Target="https://www.medellin.gov.co/irj/go/km/docs/wpccontent/Sites/Subportal%20del%20Ciudadano/Hacienda/Secciones/Normas/Documentos/2009/11-Noviembre/Estatuto%20Tributario%20del%20Municipio%20de%20Medell%C3%ADn.pdf" TargetMode="External"/><Relationship Id="rId21" Type="http://schemas.openxmlformats.org/officeDocument/2006/relationships/ctrlProp" Target="../ctrlProps/ctrlProp2.xml"/><Relationship Id="rId7" Type="http://schemas.openxmlformats.org/officeDocument/2006/relationships/hyperlink" Target="http://www.epm.com.co/site/clientes_usuarios/Clientesyusuarios/Hogaresypersonas/Gasnatural.aspx" TargetMode="External"/><Relationship Id="rId12" Type="http://schemas.openxmlformats.org/officeDocument/2006/relationships/hyperlink" Target="http://www.epm.com.co/site/clientes_usuarios/Clientesyusuarios/Empresas/Energ%C3%ADa/Grandesempresas/Tipsparaelusointeligente.aspx" TargetMode="External"/><Relationship Id="rId17" Type="http://schemas.openxmlformats.org/officeDocument/2006/relationships/printerSettings" Target="../printerSettings/printerSettings1.bin"/><Relationship Id="rId25" Type="http://schemas.openxmlformats.org/officeDocument/2006/relationships/ctrlProp" Target="../ctrlProps/ctrlProp6.xml"/><Relationship Id="rId2" Type="http://schemas.openxmlformats.org/officeDocument/2006/relationships/hyperlink" Target="https://www.medellin.gov.co/irj/go/km/docs/wpccontent/Sites/Subportal%20del%20Ciudadano/Hacienda/Secciones/Normas/Documentos/2012/ACUERDO%2064%20DE%202012%20ESTATUTO%20TRIBUTARIO%20aprobado%20por%20el%20Concejo%20de%20Medell%C3%ADn.pdf" TargetMode="External"/><Relationship Id="rId16" Type="http://schemas.openxmlformats.org/officeDocument/2006/relationships/hyperlink" Target="http://cra.gov.co/apc-aa-files/32383933383036613231636236623336/guia1.pdf" TargetMode="External"/><Relationship Id="rId20" Type="http://schemas.openxmlformats.org/officeDocument/2006/relationships/ctrlProp" Target="../ctrlProps/ctrlProp1.xml"/><Relationship Id="rId1" Type="http://schemas.openxmlformats.org/officeDocument/2006/relationships/hyperlink" Target="http://www.finanzaspersonales.com.co/impuestos/articulo/uvt-para-2016/58190" TargetMode="External"/><Relationship Id="rId6" Type="http://schemas.openxmlformats.org/officeDocument/2006/relationships/hyperlink" Target="http://apolo.creg.gov.co/Publicac.nsf/1c09d18d2d5ffb5b05256eee00709c02/56f8c32df495e5810525785a007a7650?OpenDocument" TargetMode="External"/><Relationship Id="rId11" Type="http://schemas.openxmlformats.org/officeDocument/2006/relationships/hyperlink" Target="http://www.epm.com.co/site/clientes_usuarios/clientesyusuarios/hogaresypersonas/agua/tipsparaelusointeligente.aspx" TargetMode="External"/><Relationship Id="rId24" Type="http://schemas.openxmlformats.org/officeDocument/2006/relationships/ctrlProp" Target="../ctrlProps/ctrlProp5.xml"/><Relationship Id="rId5" Type="http://schemas.openxmlformats.org/officeDocument/2006/relationships/hyperlink" Target="http://www.epm.com.co/site/clientes_usuarios/Clientesyusuarios/Hogaresypersonas/Energ%C3%ADa/Tarifas.aspx" TargetMode="External"/><Relationship Id="rId15" Type="http://schemas.openxmlformats.org/officeDocument/2006/relationships/hyperlink" Target="http://cra.gov.co/apc-aa-files/32383933383036613231636236623336/guia1.pdf" TargetMode="External"/><Relationship Id="rId23" Type="http://schemas.openxmlformats.org/officeDocument/2006/relationships/ctrlProp" Target="../ctrlProps/ctrlProp4.xml"/><Relationship Id="rId10" Type="http://schemas.openxmlformats.org/officeDocument/2006/relationships/hyperlink" Target="http://www.epm.com.co/site/Portals/2/documentos/tarifas/2016/tarifas-aguas-noviembre-2016.pdf" TargetMode="External"/><Relationship Id="rId19" Type="http://schemas.openxmlformats.org/officeDocument/2006/relationships/vmlDrawing" Target="../drawings/vmlDrawing1.vml"/><Relationship Id="rId4" Type="http://schemas.openxmlformats.org/officeDocument/2006/relationships/hyperlink" Target="http://www.salariominimo2016.com/tarifas-de-energia-en-medellin-2016-energia-epm-tarifas-2016/" TargetMode="External"/><Relationship Id="rId9" Type="http://schemas.openxmlformats.org/officeDocument/2006/relationships/hyperlink" Target="http://www.epm.com.co/site/clientes_usuarios/Clientesyusuarios/Hogaresypersonas/Agua.aspx" TargetMode="External"/><Relationship Id="rId14" Type="http://schemas.openxmlformats.org/officeDocument/2006/relationships/hyperlink" Target="http://www.creg.gov.co/index.php/sectores/gas-natural/estadisticas-gas/tarifas-aplicadas-gas" TargetMode="External"/><Relationship Id="rId22" Type="http://schemas.openxmlformats.org/officeDocument/2006/relationships/ctrlProp" Target="../ctrlProps/ctrlProp3.xml"/><Relationship Id="rId27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erviaseoitagui.com/index.php?option=com_content&amp;view=article&amp;id=18&amp;Itemid=1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enviaseo.gov.co/wp-content/uploads/2014/11/Publicaci%C3%B3n-tarifas-2016.pdf" TargetMode="External"/><Relationship Id="rId1" Type="http://schemas.openxmlformats.org/officeDocument/2006/relationships/hyperlink" Target="http://www.concejoenvigado.gov.co/index.php/acuerdos-2000-2015/file/513-acuerdo-no-062-de-2008?start=60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opa-aseo.com/index.php?option=com_content&amp;view=article&amp;id=18&amp;Itemid=11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seosiderense.com/index.php?option=com_content&amp;view=article&amp;id=18&amp;Itemid=11" TargetMode="External"/><Relationship Id="rId1" Type="http://schemas.openxmlformats.org/officeDocument/2006/relationships/hyperlink" Target="http://www.laestrella.gov.co/institucional/Normas/Acuerdo%20No%20019%20del%2030%20de%20noviembre%20de%202009.pdf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seosabaneta.com/index.php?option=com_content&amp;view=article&amp;id=18&amp;Itemid=11" TargetMode="External"/><Relationship Id="rId1" Type="http://schemas.openxmlformats.org/officeDocument/2006/relationships/hyperlink" Target="http://www.sabaneta.gov.co/institucional/Normas/Acuerdo%2004%20Noviembre%204%20de%202014.pdf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://www.belloaseo.com/index.php?option=com_content&amp;view=article&amp;id=18&amp;Itemid=11" TargetMode="External"/><Relationship Id="rId1" Type="http://schemas.openxmlformats.org/officeDocument/2006/relationships/hyperlink" Target="..\Downloads\Acuerdo_028_2012-Bello%20(1).pdf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giraseo.com/index.php?option=com_content&amp;view=article&amp;id=18&amp;Itemid=11" TargetMode="External"/><Relationship Id="rId1" Type="http://schemas.openxmlformats.org/officeDocument/2006/relationships/hyperlink" Target="http://cdim.esap.edu.co/BancoMedios/Imagenes/adoptaestatutoderentasacuerdo30girardotaantioquia%202013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arbosa.gov.co/institucional/InformacionFinanciera/Estatuto%20Tributario%20Municipal%20Barbosa%20Ant%20-%20Decreto%2000207%20Oct30%20-%202012.pdf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aseocaldas.com/index.php?option=com_content&amp;view=article&amp;id=18&amp;Itemid=1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70C0"/>
  </sheetPr>
  <dimension ref="A1:XFC167"/>
  <sheetViews>
    <sheetView tabSelected="1" workbookViewId="0">
      <pane ySplit="3" topLeftCell="A4" activePane="bottomLeft" state="frozen"/>
      <selection pane="bottomLeft" activeCell="A4" sqref="A4:F4"/>
    </sheetView>
  </sheetViews>
  <sheetFormatPr baseColWidth="10" defaultColWidth="0" defaultRowHeight="15" zeroHeight="1" x14ac:dyDescent="0.25"/>
  <cols>
    <col min="1" max="1" width="19.85546875" customWidth="1"/>
    <col min="2" max="2" width="11.5703125" customWidth="1"/>
    <col min="3" max="3" width="15" customWidth="1"/>
    <col min="4" max="4" width="14.28515625" customWidth="1"/>
    <col min="5" max="5" width="14.7109375" customWidth="1"/>
    <col min="6" max="6" width="13.42578125" customWidth="1"/>
    <col min="7" max="7" width="18.7109375" customWidth="1"/>
    <col min="8" max="8" width="11.85546875" customWidth="1"/>
    <col min="9" max="9" width="14.42578125" customWidth="1"/>
    <col min="10" max="10" width="13.42578125" customWidth="1"/>
    <col min="11" max="11" width="16.7109375" bestFit="1" customWidth="1"/>
    <col min="12" max="13" width="11.42578125" hidden="1"/>
    <col min="14" max="14" width="12.140625" hidden="1"/>
    <col min="15" max="15" width="11.140625" hidden="1"/>
    <col min="16" max="16" width="9.140625" hidden="1"/>
    <col min="17" max="17" width="12.28515625" hidden="1"/>
    <col min="18" max="18" width="17.85546875" hidden="1"/>
    <col min="19" max="19" width="18.7109375" hidden="1"/>
    <col min="20" max="22" width="11.42578125" hidden="1"/>
    <col min="23" max="23" width="15.5703125" hidden="1"/>
    <col min="24" max="16381" width="11.42578125" hidden="1"/>
    <col min="16382" max="16382" width="96.28515625" hidden="1"/>
    <col min="16383" max="16383" width="11.28515625" hidden="1"/>
    <col min="16384" max="16384" width="16.85546875" hidden="1"/>
  </cols>
  <sheetData>
    <row r="1" spans="1:23" ht="31.5" customHeight="1" x14ac:dyDescent="0.25">
      <c r="A1" s="246" t="s">
        <v>160</v>
      </c>
      <c r="B1" s="247"/>
      <c r="C1" s="247"/>
      <c r="D1" s="247"/>
      <c r="E1" s="247"/>
      <c r="F1" s="247"/>
      <c r="G1" s="250"/>
      <c r="H1" s="250"/>
      <c r="I1" s="113" t="s">
        <v>96</v>
      </c>
      <c r="J1" s="113" t="s">
        <v>97</v>
      </c>
      <c r="K1" s="114" t="s">
        <v>98</v>
      </c>
    </row>
    <row r="2" spans="1:23" ht="27.75" customHeight="1" thickBot="1" x14ac:dyDescent="0.3">
      <c r="A2" s="248"/>
      <c r="B2" s="249"/>
      <c r="C2" s="249"/>
      <c r="D2" s="249"/>
      <c r="E2" s="249"/>
      <c r="F2" s="249"/>
      <c r="G2" s="251"/>
      <c r="H2" s="251"/>
      <c r="I2" s="115" t="s">
        <v>68</v>
      </c>
      <c r="J2" s="116" t="s">
        <v>107</v>
      </c>
      <c r="K2" s="117"/>
      <c r="P2" s="15"/>
    </row>
    <row r="3" spans="1:23" ht="30.75" customHeight="1" thickBot="1" x14ac:dyDescent="0.3">
      <c r="A3" s="195" t="s">
        <v>195</v>
      </c>
      <c r="B3" s="196"/>
      <c r="C3" s="130"/>
      <c r="D3" s="129"/>
      <c r="E3" s="131"/>
      <c r="F3" s="129"/>
      <c r="G3" s="132"/>
      <c r="H3" s="133"/>
      <c r="I3" s="112" t="s">
        <v>20</v>
      </c>
      <c r="J3" s="433">
        <f>IF(ISNUMBER(SUM(K14,K21,K37,J53,K66)),SUM(K14,K21,K37,J53,K66,K78),"FALTAN VALORES")</f>
        <v>99949</v>
      </c>
      <c r="K3" s="434"/>
      <c r="P3" s="15"/>
    </row>
    <row r="4" spans="1:23" ht="37.5" customHeight="1" thickBot="1" x14ac:dyDescent="0.3">
      <c r="A4" s="459" t="s">
        <v>71</v>
      </c>
      <c r="B4" s="460"/>
      <c r="C4" s="460"/>
      <c r="D4" s="460"/>
      <c r="E4" s="460"/>
      <c r="F4" s="460"/>
      <c r="G4" s="68" t="str">
        <f>I2</f>
        <v>(SABANETA)</v>
      </c>
      <c r="H4" s="455"/>
      <c r="I4" s="455"/>
      <c r="J4" s="456"/>
      <c r="K4" s="69" t="str">
        <f>J2</f>
        <v>Enero de 2017</v>
      </c>
      <c r="P4" s="15"/>
    </row>
    <row r="5" spans="1:23" ht="25.5" customHeight="1" thickBot="1" x14ac:dyDescent="0.3">
      <c r="A5" s="417" t="s">
        <v>57</v>
      </c>
      <c r="B5" s="418"/>
      <c r="C5" s="418"/>
      <c r="D5" s="418"/>
      <c r="E5" s="418"/>
      <c r="F5" s="418"/>
      <c r="G5" s="418"/>
      <c r="H5" s="418"/>
      <c r="I5" s="418"/>
      <c r="J5" s="418"/>
      <c r="K5" s="419"/>
      <c r="M5" s="318" t="s">
        <v>35</v>
      </c>
      <c r="N5" s="319"/>
      <c r="O5" s="320"/>
      <c r="P5" s="15"/>
      <c r="R5" s="35" t="s">
        <v>62</v>
      </c>
      <c r="S5" s="35" t="s">
        <v>75</v>
      </c>
      <c r="V5" s="64" t="s">
        <v>4</v>
      </c>
    </row>
    <row r="6" spans="1:23" ht="14.25" customHeight="1" thickBot="1" x14ac:dyDescent="0.3">
      <c r="A6" s="420" t="s">
        <v>54</v>
      </c>
      <c r="B6" s="421"/>
      <c r="C6" s="421"/>
      <c r="D6" s="421"/>
      <c r="E6" s="421"/>
      <c r="F6" s="421"/>
      <c r="G6" s="421"/>
      <c r="H6" s="421"/>
      <c r="I6" s="421"/>
      <c r="J6" s="421"/>
      <c r="K6" s="422"/>
      <c r="M6" s="321"/>
      <c r="N6" s="322"/>
      <c r="O6" s="323"/>
      <c r="P6" s="15"/>
      <c r="R6" s="25" t="s">
        <v>61</v>
      </c>
      <c r="S6" s="52" t="s">
        <v>76</v>
      </c>
      <c r="U6" s="24" t="s">
        <v>118</v>
      </c>
      <c r="V6" s="65">
        <v>1</v>
      </c>
    </row>
    <row r="7" spans="1:23" ht="14.25" customHeight="1" thickBot="1" x14ac:dyDescent="0.3">
      <c r="A7" s="232" t="s">
        <v>46</v>
      </c>
      <c r="B7" s="233"/>
      <c r="C7" s="96" t="s">
        <v>48</v>
      </c>
      <c r="D7" s="97" t="s">
        <v>47</v>
      </c>
      <c r="E7" s="98" t="s">
        <v>49</v>
      </c>
      <c r="F7" s="99" t="s">
        <v>47</v>
      </c>
      <c r="G7" s="425"/>
      <c r="H7" s="425"/>
      <c r="I7" s="425"/>
      <c r="J7" s="425"/>
      <c r="K7" s="426"/>
      <c r="M7" s="2" t="s">
        <v>10</v>
      </c>
      <c r="N7" s="32" t="s">
        <v>11</v>
      </c>
      <c r="O7" s="33" t="s">
        <v>12</v>
      </c>
      <c r="P7" s="15"/>
      <c r="R7" s="25" t="s">
        <v>64</v>
      </c>
      <c r="S7" s="52" t="s">
        <v>78</v>
      </c>
      <c r="U7" s="24" t="s">
        <v>119</v>
      </c>
      <c r="V7" s="65">
        <v>2</v>
      </c>
    </row>
    <row r="8" spans="1:23" ht="15.75" customHeight="1" thickBot="1" x14ac:dyDescent="0.3">
      <c r="A8" s="406" t="s">
        <v>0</v>
      </c>
      <c r="B8" s="407"/>
      <c r="C8" s="407"/>
      <c r="D8" s="407"/>
      <c r="E8" s="407" t="s">
        <v>34</v>
      </c>
      <c r="F8" s="407"/>
      <c r="G8" s="407"/>
      <c r="H8" s="407"/>
      <c r="I8" s="407" t="s">
        <v>18</v>
      </c>
      <c r="J8" s="407"/>
      <c r="K8" s="408"/>
      <c r="M8" s="16">
        <v>1</v>
      </c>
      <c r="N8" s="3">
        <v>0.5</v>
      </c>
      <c r="O8" s="4"/>
      <c r="P8" s="15"/>
      <c r="R8" s="25" t="s">
        <v>65</v>
      </c>
      <c r="S8" s="52" t="s">
        <v>79</v>
      </c>
      <c r="V8" s="65">
        <v>3</v>
      </c>
    </row>
    <row r="9" spans="1:23" ht="15.75" thickBot="1" x14ac:dyDescent="0.3">
      <c r="A9" s="190" t="s">
        <v>1</v>
      </c>
      <c r="B9" s="191"/>
      <c r="C9" s="390">
        <v>3</v>
      </c>
      <c r="D9" s="390"/>
      <c r="E9" s="269" t="s">
        <v>32</v>
      </c>
      <c r="F9" s="269"/>
      <c r="G9" s="384" t="s">
        <v>33</v>
      </c>
      <c r="H9" s="384"/>
      <c r="I9" s="384" t="s">
        <v>28</v>
      </c>
      <c r="J9" s="384"/>
      <c r="K9" s="77">
        <f>IF(C9=1,C15*E10,IF(C9=2,C16*E10,IF(C9=3,C17*E10,IF(C9=4,C18*E10,IF(C9=5,C19*E10,IF(C9=6,C20*E10))))))</f>
        <v>7658.3</v>
      </c>
      <c r="M9" s="17">
        <v>2</v>
      </c>
      <c r="N9" s="5">
        <v>0.4</v>
      </c>
      <c r="O9" s="6"/>
      <c r="R9" s="25" t="s">
        <v>66</v>
      </c>
      <c r="S9" s="52" t="s">
        <v>80</v>
      </c>
      <c r="V9" s="65">
        <v>4</v>
      </c>
    </row>
    <row r="10" spans="1:23" ht="26.25" customHeight="1" thickBot="1" x14ac:dyDescent="0.3">
      <c r="A10" s="152" t="s">
        <v>31</v>
      </c>
      <c r="B10" s="153"/>
      <c r="C10" s="70">
        <v>5</v>
      </c>
      <c r="D10" s="70">
        <v>5</v>
      </c>
      <c r="E10" s="71">
        <f>IF(C10&gt;=18,18,C10)</f>
        <v>5</v>
      </c>
      <c r="F10" s="71">
        <f>IF(D10&gt;=18,18,D10)</f>
        <v>5</v>
      </c>
      <c r="G10" s="72">
        <f>IF(C10&gt;=18,C10-E10,0)</f>
        <v>0</v>
      </c>
      <c r="H10" s="72">
        <f>IF(D10&gt;=18,D10-F10,0)</f>
        <v>0</v>
      </c>
      <c r="I10" s="384" t="s">
        <v>29</v>
      </c>
      <c r="J10" s="384"/>
      <c r="K10" s="77">
        <f>IF(C9=1,G10*D15,IF(C9=2,D16*G10,IF(C9=3,D17*G10,IF(C9=4,D18*G10,IF(C9=5,D19*G10,IF(C9=6,D20*G10))))))</f>
        <v>0</v>
      </c>
      <c r="M10" s="17">
        <v>3</v>
      </c>
      <c r="N10" s="5">
        <v>0.15</v>
      </c>
      <c r="O10" s="6"/>
      <c r="R10" s="25" t="s">
        <v>63</v>
      </c>
      <c r="S10" s="53" t="s">
        <v>107</v>
      </c>
      <c r="V10" s="65">
        <v>5</v>
      </c>
    </row>
    <row r="11" spans="1:23" ht="15.75" customHeight="1" thickBot="1" x14ac:dyDescent="0.3">
      <c r="A11" s="173" t="s">
        <v>2</v>
      </c>
      <c r="B11" s="174"/>
      <c r="C11" s="174"/>
      <c r="D11" s="174"/>
      <c r="E11" s="174"/>
      <c r="F11" s="174"/>
      <c r="G11" s="174"/>
      <c r="H11" s="174"/>
      <c r="I11" s="384" t="s">
        <v>3</v>
      </c>
      <c r="J11" s="384"/>
      <c r="K11" s="77">
        <f>IF(C9=1,B15,IF(C9=2,B16,IF(C9=3,B17,IF(C9=4,B18,IF(C9=5,B19,IF(C9=6,B20))))))</f>
        <v>7888.32</v>
      </c>
      <c r="L11" s="9"/>
      <c r="M11" s="17">
        <v>5</v>
      </c>
      <c r="N11" s="7"/>
      <c r="O11" s="8">
        <v>0.5</v>
      </c>
      <c r="Q11" s="9"/>
      <c r="R11" s="25" t="s">
        <v>70</v>
      </c>
      <c r="S11" s="43"/>
      <c r="U11" s="9"/>
      <c r="V11" s="66">
        <v>6</v>
      </c>
      <c r="W11" s="9"/>
    </row>
    <row r="12" spans="1:23" ht="15.75" customHeight="1" thickBot="1" x14ac:dyDescent="0.3">
      <c r="A12" s="423" t="s">
        <v>147</v>
      </c>
      <c r="B12" s="386"/>
      <c r="C12" s="386"/>
      <c r="D12" s="386"/>
      <c r="E12" s="386" t="s">
        <v>9</v>
      </c>
      <c r="F12" s="386"/>
      <c r="G12" s="386"/>
      <c r="H12" s="386"/>
      <c r="I12" s="384" t="s">
        <v>58</v>
      </c>
      <c r="J12" s="384"/>
      <c r="K12" s="77">
        <f>IF(C9=1,K11*-N8,IF(C9=2,-K11*N9,IF(C9=3,-K11*N10,IF(C9=4,0,IF(C9=5,K11*O11,IF(C9=6,O12*K11))))))</f>
        <v>-1183.2479999999998</v>
      </c>
      <c r="M12" s="17">
        <v>6</v>
      </c>
      <c r="N12" s="7"/>
      <c r="O12" s="8">
        <v>0.6</v>
      </c>
      <c r="R12" s="25" t="s">
        <v>69</v>
      </c>
      <c r="S12" s="43"/>
    </row>
    <row r="13" spans="1:23" ht="15.75" thickBot="1" x14ac:dyDescent="0.3">
      <c r="A13" s="410" t="s">
        <v>194</v>
      </c>
      <c r="B13" s="409" t="s">
        <v>162</v>
      </c>
      <c r="C13" s="269" t="s">
        <v>163</v>
      </c>
      <c r="D13" s="269"/>
      <c r="E13" s="409" t="s">
        <v>162</v>
      </c>
      <c r="F13" s="269" t="s">
        <v>163</v>
      </c>
      <c r="G13" s="269"/>
      <c r="H13" s="269"/>
      <c r="I13" s="384" t="s">
        <v>17</v>
      </c>
      <c r="J13" s="384"/>
      <c r="K13" s="77">
        <f>IF(MOD(SUM(K9:K12),1)&lt;=0.5,-ABS(ROUND(SUM(K9:K12),0)-SUM(K9:K12)),ABS(ROUND(SUM(K9:K12),0)-SUM(K9:K12)))</f>
        <v>-0.37199999999938882</v>
      </c>
      <c r="M13" s="26" t="s">
        <v>13</v>
      </c>
      <c r="N13" s="27"/>
      <c r="O13" s="28">
        <v>0.5</v>
      </c>
      <c r="R13" s="25" t="s">
        <v>67</v>
      </c>
      <c r="S13" s="43"/>
    </row>
    <row r="14" spans="1:23" ht="15.75" customHeight="1" thickBot="1" x14ac:dyDescent="0.3">
      <c r="A14" s="410"/>
      <c r="B14" s="409"/>
      <c r="C14" s="73" t="s">
        <v>7</v>
      </c>
      <c r="D14" s="73" t="s">
        <v>8</v>
      </c>
      <c r="E14" s="409"/>
      <c r="F14" s="73" t="s">
        <v>7</v>
      </c>
      <c r="G14" s="269" t="s">
        <v>8</v>
      </c>
      <c r="H14" s="269"/>
      <c r="I14" s="411" t="s">
        <v>20</v>
      </c>
      <c r="J14" s="412"/>
      <c r="K14" s="94">
        <f>IF(ISNUMBER(SUM(K9:K13)),SUM(K9:K13),"FALTAN VALORES")</f>
        <v>14363</v>
      </c>
      <c r="M14" s="29" t="s">
        <v>14</v>
      </c>
      <c r="N14" s="30"/>
      <c r="O14" s="31">
        <v>0.3</v>
      </c>
      <c r="R14" s="25" t="s">
        <v>68</v>
      </c>
      <c r="S14" s="43"/>
    </row>
    <row r="15" spans="1:23" ht="15.75" customHeight="1" thickBot="1" x14ac:dyDescent="0.3">
      <c r="A15" s="78" t="s">
        <v>25</v>
      </c>
      <c r="B15" s="74">
        <v>2491.0500000000002</v>
      </c>
      <c r="C15" s="73">
        <v>483.68</v>
      </c>
      <c r="D15" s="73">
        <v>1612.27</v>
      </c>
      <c r="E15" s="73">
        <v>1337.28</v>
      </c>
      <c r="F15" s="73">
        <v>510.71</v>
      </c>
      <c r="G15" s="269">
        <v>1702.36</v>
      </c>
      <c r="H15" s="269"/>
      <c r="I15" s="386" t="s">
        <v>19</v>
      </c>
      <c r="J15" s="386"/>
      <c r="K15" s="387"/>
      <c r="R15" s="25" t="s">
        <v>134</v>
      </c>
      <c r="S15" s="43"/>
    </row>
    <row r="16" spans="1:23" ht="15.75" customHeight="1" x14ac:dyDescent="0.25">
      <c r="A16" s="78" t="s">
        <v>21</v>
      </c>
      <c r="B16" s="73">
        <v>4982.09</v>
      </c>
      <c r="C16" s="75">
        <v>967.36</v>
      </c>
      <c r="D16" s="73">
        <v>1612.27</v>
      </c>
      <c r="E16" s="73">
        <v>2674.55</v>
      </c>
      <c r="F16" s="73">
        <v>1021.42</v>
      </c>
      <c r="G16" s="269">
        <v>1703.36</v>
      </c>
      <c r="H16" s="269"/>
      <c r="I16" s="269" t="s">
        <v>15</v>
      </c>
      <c r="J16" s="269"/>
      <c r="K16" s="79">
        <f>IF(C9=1,F15*F10,IF(C9=2,F16*F10,IF(C9=3,F17*F10,IF(C9=4,F18*F10,IF(C9=5,F19*F10,IF(C9=6,F20*F10))))))</f>
        <v>7490.4</v>
      </c>
    </row>
    <row r="17" spans="1:14" ht="15.75" customHeight="1" x14ac:dyDescent="0.25">
      <c r="A17" s="78" t="s">
        <v>24</v>
      </c>
      <c r="B17" s="73">
        <v>7888.32</v>
      </c>
      <c r="C17" s="73">
        <v>1531.66</v>
      </c>
      <c r="D17" s="73">
        <v>1612.27</v>
      </c>
      <c r="E17" s="73">
        <v>3922.68</v>
      </c>
      <c r="F17" s="73">
        <v>1498.08</v>
      </c>
      <c r="G17" s="269">
        <v>1704.36</v>
      </c>
      <c r="H17" s="269"/>
      <c r="I17" s="269" t="s">
        <v>16</v>
      </c>
      <c r="J17" s="269"/>
      <c r="K17" s="80">
        <f>IF(C9=1,H10*G15,IF(C9=2,G16*H10,IF(C9=3,G17*H10,IF(C9=4,G18*H10,IF(C9=5,G19*H10,IF(C9=6,G20*H10))))))</f>
        <v>0</v>
      </c>
    </row>
    <row r="18" spans="1:14" ht="15.75" customHeight="1" x14ac:dyDescent="0.25">
      <c r="A18" s="78" t="s">
        <v>22</v>
      </c>
      <c r="B18" s="73">
        <v>8303.49</v>
      </c>
      <c r="C18" s="73">
        <v>1612.27</v>
      </c>
      <c r="D18" s="73">
        <v>1612.27</v>
      </c>
      <c r="E18" s="73">
        <v>4457.59</v>
      </c>
      <c r="F18" s="73">
        <v>1702.36</v>
      </c>
      <c r="G18" s="269">
        <v>1705.36</v>
      </c>
      <c r="H18" s="269"/>
      <c r="I18" s="269" t="s">
        <v>3</v>
      </c>
      <c r="J18" s="269"/>
      <c r="K18" s="80">
        <f>IF(C9=1,E15,IF(C9=2,E16,IF(C9=3,E17,IF(C9=4,E18,IF(C9=5,E19,IF(C9=6,E20))))))</f>
        <v>3922.68</v>
      </c>
    </row>
    <row r="19" spans="1:14" ht="24" customHeight="1" x14ac:dyDescent="0.25">
      <c r="A19" s="81" t="s">
        <v>23</v>
      </c>
      <c r="B19" s="76">
        <v>12455.24</v>
      </c>
      <c r="C19" s="76">
        <v>2418.41</v>
      </c>
      <c r="D19" s="76">
        <v>2418.41</v>
      </c>
      <c r="E19" s="76">
        <v>6686.39</v>
      </c>
      <c r="F19" s="76">
        <v>2553.54</v>
      </c>
      <c r="G19" s="156">
        <v>2553.54</v>
      </c>
      <c r="H19" s="156"/>
      <c r="I19" s="156" t="s">
        <v>90</v>
      </c>
      <c r="J19" s="156"/>
      <c r="K19" s="82">
        <f>IF(C9=1,K18*-N8,IF(C9=2,-K18*N9,IF(C9=3,-K18*N10,IF(C9=4,0,IF(C9=5,K18*O11,IF(C9=6,O12*K18))))))</f>
        <v>-588.40199999999993</v>
      </c>
    </row>
    <row r="20" spans="1:14" ht="15.75" customHeight="1" x14ac:dyDescent="0.25">
      <c r="A20" s="388" t="s">
        <v>26</v>
      </c>
      <c r="B20" s="384">
        <v>13285.58</v>
      </c>
      <c r="C20" s="384">
        <v>2579.63</v>
      </c>
      <c r="D20" s="384">
        <v>2579.63</v>
      </c>
      <c r="E20" s="384">
        <v>7132.14</v>
      </c>
      <c r="F20" s="384">
        <v>2723.78</v>
      </c>
      <c r="G20" s="384">
        <v>2723.78</v>
      </c>
      <c r="H20" s="384"/>
      <c r="I20" s="269" t="s">
        <v>17</v>
      </c>
      <c r="J20" s="269"/>
      <c r="K20" s="95">
        <f>IF(MOD(SUM(K16:K19),1)&lt;=0.5,-ABS(ROUND(SUM(K16:K19),0)-SUM(K16:K19)),ABS(ROUND(SUM(K16:K19),0)-SUM(K16:K19)))</f>
        <v>0.32200000000011642</v>
      </c>
      <c r="M20" s="54"/>
      <c r="N20" s="54"/>
    </row>
    <row r="21" spans="1:14" ht="15.75" customHeight="1" thickBot="1" x14ac:dyDescent="0.3">
      <c r="A21" s="150"/>
      <c r="B21" s="385"/>
      <c r="C21" s="385"/>
      <c r="D21" s="385"/>
      <c r="E21" s="385"/>
      <c r="F21" s="385"/>
      <c r="G21" s="385"/>
      <c r="H21" s="385"/>
      <c r="I21" s="415" t="s">
        <v>20</v>
      </c>
      <c r="J21" s="416"/>
      <c r="K21" s="111">
        <f>IF(ISNUMBER(SUM(K16:K20)),SUM(K16:K20),"FALTAN VALORES")</f>
        <v>10825</v>
      </c>
    </row>
    <row r="22" spans="1:14" ht="38.25" customHeight="1" thickBot="1" x14ac:dyDescent="0.3">
      <c r="A22" s="391" t="s">
        <v>60</v>
      </c>
      <c r="B22" s="392"/>
      <c r="C22" s="392"/>
      <c r="D22" s="392"/>
      <c r="E22" s="392"/>
      <c r="F22" s="83" t="str">
        <f>I2</f>
        <v>(SABANETA)</v>
      </c>
      <c r="G22" s="393"/>
      <c r="H22" s="393"/>
      <c r="I22" s="393"/>
      <c r="J22" s="394"/>
      <c r="K22" s="67" t="str">
        <f>J2</f>
        <v>Enero de 2017</v>
      </c>
    </row>
    <row r="23" spans="1:14" ht="27.75" customHeight="1" x14ac:dyDescent="0.25">
      <c r="A23" s="441" t="s">
        <v>53</v>
      </c>
      <c r="B23" s="442"/>
      <c r="C23" s="442"/>
      <c r="D23" s="442"/>
      <c r="E23" s="442"/>
      <c r="F23" s="442"/>
      <c r="G23" s="442"/>
      <c r="H23" s="442"/>
      <c r="I23" s="442"/>
      <c r="J23" s="442"/>
      <c r="K23" s="443"/>
    </row>
    <row r="24" spans="1:14" ht="15" customHeight="1" x14ac:dyDescent="0.25">
      <c r="A24" s="444" t="s">
        <v>101</v>
      </c>
      <c r="B24" s="445"/>
      <c r="C24" s="445"/>
      <c r="D24" s="445"/>
      <c r="E24" s="445"/>
      <c r="F24" s="445"/>
      <c r="G24" s="445"/>
      <c r="H24" s="445"/>
      <c r="I24" s="445"/>
      <c r="J24" s="445"/>
      <c r="K24" s="446"/>
    </row>
    <row r="25" spans="1:14" ht="15" customHeight="1" x14ac:dyDescent="0.25">
      <c r="A25" s="232" t="s">
        <v>46</v>
      </c>
      <c r="B25" s="233"/>
      <c r="C25" s="96" t="s">
        <v>48</v>
      </c>
      <c r="D25" s="99" t="s">
        <v>47</v>
      </c>
      <c r="E25" s="100" t="s">
        <v>49</v>
      </c>
      <c r="F25" s="99" t="s">
        <v>47</v>
      </c>
      <c r="G25" s="100" t="s">
        <v>50</v>
      </c>
      <c r="H25" s="99" t="s">
        <v>47</v>
      </c>
      <c r="I25" s="427"/>
      <c r="J25" s="427"/>
      <c r="K25" s="428"/>
    </row>
    <row r="26" spans="1:14" ht="15.75" customHeight="1" x14ac:dyDescent="0.25">
      <c r="A26" s="395" t="s">
        <v>0</v>
      </c>
      <c r="B26" s="396"/>
      <c r="C26" s="396"/>
      <c r="D26" s="396"/>
      <c r="E26" s="396"/>
      <c r="F26" s="396"/>
      <c r="G26" s="396"/>
      <c r="H26" s="396"/>
      <c r="I26" s="396"/>
      <c r="J26" s="396"/>
      <c r="K26" s="397"/>
    </row>
    <row r="27" spans="1:14" x14ac:dyDescent="0.25">
      <c r="A27" s="190" t="s">
        <v>1</v>
      </c>
      <c r="B27" s="191"/>
      <c r="C27" s="390">
        <v>3</v>
      </c>
      <c r="D27" s="390"/>
      <c r="E27" s="193" t="s">
        <v>99</v>
      </c>
      <c r="F27" s="193"/>
      <c r="G27" s="85" t="s">
        <v>92</v>
      </c>
      <c r="H27" s="414" t="s">
        <v>27</v>
      </c>
      <c r="I27" s="414"/>
      <c r="J27" s="414"/>
      <c r="K27" s="86">
        <v>93</v>
      </c>
    </row>
    <row r="28" spans="1:14" x14ac:dyDescent="0.25">
      <c r="A28" s="173" t="s">
        <v>2</v>
      </c>
      <c r="B28" s="174"/>
      <c r="C28" s="174"/>
      <c r="D28" s="174"/>
      <c r="E28" s="174"/>
      <c r="F28" s="174"/>
      <c r="G28" s="174"/>
      <c r="H28" s="174"/>
      <c r="I28" s="386" t="s">
        <v>85</v>
      </c>
      <c r="J28" s="386"/>
      <c r="K28" s="387"/>
    </row>
    <row r="29" spans="1:14" ht="15" customHeight="1" x14ac:dyDescent="0.25">
      <c r="A29" s="152" t="s">
        <v>194</v>
      </c>
      <c r="B29" s="153"/>
      <c r="C29" s="156" t="s">
        <v>91</v>
      </c>
      <c r="D29" s="156"/>
      <c r="E29" s="156"/>
      <c r="F29" s="156" t="s">
        <v>95</v>
      </c>
      <c r="G29" s="156"/>
      <c r="H29" s="156"/>
      <c r="I29" s="384"/>
      <c r="J29" s="384"/>
      <c r="K29" s="453"/>
    </row>
    <row r="30" spans="1:14" ht="22.5" customHeight="1" x14ac:dyDescent="0.25">
      <c r="A30" s="152"/>
      <c r="B30" s="153"/>
      <c r="C30" s="76" t="s">
        <v>93</v>
      </c>
      <c r="D30" s="76" t="s">
        <v>92</v>
      </c>
      <c r="E30" s="76" t="s">
        <v>94</v>
      </c>
      <c r="F30" s="76" t="s">
        <v>93</v>
      </c>
      <c r="G30" s="76" t="s">
        <v>92</v>
      </c>
      <c r="H30" s="76" t="s">
        <v>94</v>
      </c>
      <c r="I30" s="384"/>
      <c r="J30" s="384"/>
      <c r="K30" s="453"/>
    </row>
    <row r="31" spans="1:14" x14ac:dyDescent="0.25">
      <c r="A31" s="159" t="s">
        <v>25</v>
      </c>
      <c r="B31" s="160"/>
      <c r="C31" s="76">
        <v>199.38</v>
      </c>
      <c r="D31" s="76">
        <v>191.91</v>
      </c>
      <c r="E31" s="76">
        <v>184.31</v>
      </c>
      <c r="F31" s="76">
        <v>471.89</v>
      </c>
      <c r="G31" s="76">
        <v>454.42</v>
      </c>
      <c r="H31" s="76">
        <v>437.01</v>
      </c>
      <c r="I31" s="227" t="s">
        <v>86</v>
      </c>
      <c r="J31" s="227"/>
      <c r="K31" s="228"/>
    </row>
    <row r="32" spans="1:14" ht="15.75" customHeight="1" x14ac:dyDescent="0.25">
      <c r="A32" s="159" t="s">
        <v>21</v>
      </c>
      <c r="B32" s="160"/>
      <c r="C32" s="76">
        <v>249.23</v>
      </c>
      <c r="D32" s="76">
        <v>239.89</v>
      </c>
      <c r="E32" s="76">
        <v>230.39</v>
      </c>
      <c r="F32" s="76">
        <v>471.89</v>
      </c>
      <c r="G32" s="76">
        <v>454.42</v>
      </c>
      <c r="H32" s="76">
        <v>437.01</v>
      </c>
      <c r="I32" s="156" t="s">
        <v>87</v>
      </c>
      <c r="J32" s="156"/>
      <c r="K32" s="79">
        <f>IF(AND(C27=1,K27&lt;130,G27="PROPIEDAD EPM"),C31*K27,IF(AND(C27=1,K27&lt;130,G27="COMPARTIDO"),D31*K27,IF(AND(C27=1,K27&lt;130,G27="PROPIEDAD CLIENTE"),E31*K27,IF(AND(C27=2,K27&lt;130,G27="PROPIEDAD EPM"),C32*K27,IF(AND(C27=2,K27&lt;130,G27="COMPARTIDO"),D32*K27,IF(AND(C27=2,K27&lt;130,G27="PROPIEDAD CLIENTE"),E32*K27,IF(AND(C27=3,K27&lt;130,G27="PROPIEDAD EPM"),C33*K27,IF(AND(C27=3,K27&lt;130,G27="COMPARTIDO"),D33*K27,IF(AND(C27=3,K27&lt;130,G27="PROPIEDAD CLIENTE"),E33*K27,IF(AND(C27=4,K27&lt;130,G27="PROPIEDAD EPM"),C34*K27,IF(AND(C27=4,K27&lt;130,G27="COMPARTIDO"),D34*K27,IF(AND(C27=4,K27&lt;130,G27="PROPIEDAD CLIENTE"),E34*K27,IF(AND(C27=5,K27&lt;130,G27="PROPIEDAD EPM"),C35*K27,IF(AND(C27=5,K27&lt;130,G27="COMPARTIDO"),D35*K27,IF(AND(C27=5,K27&lt;130,G27="PROPIEDAD CLIENTE"),E35*K27,IF(AND(C27=6,K27&lt;130,G27="PROPIEDAD EPM"),C36*K27,IF(AND(C27=6,K27&lt;130,G27="COMPARTIDO"),D36*K27,IF(AND(C27=6,K27&lt;130,G27="PROPIEDAD CLIENTE"),E36*K27,IF(K27&gt;=130,0)))))))))))))))))))</f>
        <v>35922.18</v>
      </c>
    </row>
    <row r="33" spans="1:13" x14ac:dyDescent="0.25">
      <c r="A33" s="159" t="s">
        <v>24</v>
      </c>
      <c r="B33" s="160"/>
      <c r="C33" s="76">
        <v>401.06</v>
      </c>
      <c r="D33" s="76">
        <v>386.26</v>
      </c>
      <c r="E33" s="76">
        <v>371.46</v>
      </c>
      <c r="F33" s="76">
        <v>471.89</v>
      </c>
      <c r="G33" s="76">
        <v>454.42</v>
      </c>
      <c r="H33" s="76">
        <v>437.01</v>
      </c>
      <c r="I33" s="269" t="s">
        <v>88</v>
      </c>
      <c r="J33" s="269"/>
      <c r="K33" s="79">
        <f>IF(AND(C27=1,K27&gt;=130,G27="PROPIEDAD EPM"),F31*K27,IF(AND(C27=1,K27&gt;=130,G27="COMPARTIDO"),G31*K27,IF(AND(C27=1,K27&gt;=130,G27="PROPIEDAD CLIENTE"),H31*K27,IF(AND(C27=2,K27&gt;=130,G27="PROPIEDAD EPM"),F32*K27,IF(AND(C27=2,K27&gt;=130,G27="COMPARTIDO"),G32*K27,IF(AND(C27=2,K27&gt;=130,G27="PROPIEDAD CLIENTE"),H32*K27,IF(AND(C27=3,K27&gt;=130,G27="PROPIEDAD EPM"),F33*K27,IF(AND(C27=3,K27&gt;=130,G27="COMPARTIDO"),G33*K27,IF(AND(C27=3,K27&gt;=130,G27="PROPIEDAD CLIENTE"),H33*K27,IF(AND(C27=4,K27&gt;=130,G27="PROPIEDAD EPM"),F34*K27,IF(AND(C27=4,K27&gt;=130,G27="COMPARTIDO"),G34*K27,IF(AND(C27=4,K27&gt;=130,G27="PROPIEDAD CLIENTE"),H34*K27,IF(AND(C27=5,K27&gt;=130,G27="PROPIEDAD EPM"),F35*K27,IF(AND(C27=5,K27&gt;=130,G27="COMPARTIDO"),G35*K27,IF(AND(C27=5,K27&gt;=130,G27="PROPIEDAD CLIENTE"),H35*K27,IF(AND(C27=6,K27&gt;=130,G27="PROPIEDAD EPM"),F36*K27,IF(AND(C27=6,K27&gt;=130,G27="COMPARTIDO"),G36*K27,IF(AND(C27=6,K27&gt;=130,G27="PROPIEDAD CLIENTE"),H36*K27,IF(K27&lt;130,0)))))))))))))))))))</f>
        <v>0</v>
      </c>
    </row>
    <row r="34" spans="1:13" x14ac:dyDescent="0.25">
      <c r="A34" s="159" t="s">
        <v>22</v>
      </c>
      <c r="B34" s="160"/>
      <c r="C34" s="76">
        <v>471.84</v>
      </c>
      <c r="D34" s="76">
        <v>454.42</v>
      </c>
      <c r="E34" s="76">
        <v>437.01</v>
      </c>
      <c r="F34" s="76">
        <v>471.89</v>
      </c>
      <c r="G34" s="76">
        <v>454.42</v>
      </c>
      <c r="H34" s="76">
        <v>437.01</v>
      </c>
      <c r="I34" s="384" t="s">
        <v>89</v>
      </c>
      <c r="J34" s="384"/>
      <c r="K34" s="80">
        <f>IF(C27=1,SUM(K32:K33)*-N8,IF(C27=2,-SUM(K32:K33)*N9,IF(C27=3,-SUM(K32:K33)*N10,IF(C27=4,0,IF(C27=5,SUM(K32:K33)*0.2,IF(C27=6,0.2*SUM(K32:K33)))))))</f>
        <v>-5388.3270000000002</v>
      </c>
    </row>
    <row r="35" spans="1:13" x14ac:dyDescent="0.25">
      <c r="A35" s="159" t="s">
        <v>23</v>
      </c>
      <c r="B35" s="160"/>
      <c r="C35" s="76">
        <v>566.20000000000005</v>
      </c>
      <c r="D35" s="76">
        <v>545.30999999999995</v>
      </c>
      <c r="E35" s="76">
        <v>524.41</v>
      </c>
      <c r="F35" s="76">
        <v>471.89</v>
      </c>
      <c r="G35" s="76">
        <v>454.42</v>
      </c>
      <c r="H35" s="76">
        <v>437.01</v>
      </c>
      <c r="I35" s="384" t="s">
        <v>17</v>
      </c>
      <c r="J35" s="384"/>
      <c r="K35" s="80">
        <f>IF(MOD(SUM(K32:K34),1)&lt;=0.5,-ABS(ROUND(SUM(K32:K34),0)-SUM(K32:K34)),ABS(ROUND(SUM(K32:K34),0)-SUM(K32:K34)))</f>
        <v>0.14700000000084401</v>
      </c>
    </row>
    <row r="36" spans="1:13" ht="25.5" customHeight="1" x14ac:dyDescent="0.25">
      <c r="A36" s="388" t="s">
        <v>26</v>
      </c>
      <c r="B36" s="389"/>
      <c r="C36" s="156">
        <v>566.20000000000005</v>
      </c>
      <c r="D36" s="156">
        <v>545.30999999999995</v>
      </c>
      <c r="E36" s="156">
        <v>524.41</v>
      </c>
      <c r="F36" s="156">
        <v>471.89</v>
      </c>
      <c r="G36" s="156">
        <v>454.42</v>
      </c>
      <c r="H36" s="156">
        <v>437.01</v>
      </c>
      <c r="I36" s="236" t="s">
        <v>168</v>
      </c>
      <c r="J36" s="236"/>
      <c r="K36" s="110">
        <v>0</v>
      </c>
    </row>
    <row r="37" spans="1:13" ht="15.75" customHeight="1" thickBot="1" x14ac:dyDescent="0.3">
      <c r="A37" s="150"/>
      <c r="B37" s="151"/>
      <c r="C37" s="413"/>
      <c r="D37" s="413"/>
      <c r="E37" s="413"/>
      <c r="F37" s="413"/>
      <c r="G37" s="413"/>
      <c r="H37" s="431"/>
      <c r="I37" s="429" t="s">
        <v>20</v>
      </c>
      <c r="J37" s="430"/>
      <c r="K37" s="111">
        <f>IF(ISNUMBER(SUM(K31:K36)),SUM(K31:K36),"FALTAN VALORES")</f>
        <v>30534</v>
      </c>
    </row>
    <row r="38" spans="1:13" ht="38.25" customHeight="1" thickBot="1" x14ac:dyDescent="0.3">
      <c r="A38" s="457" t="s">
        <v>72</v>
      </c>
      <c r="B38" s="458"/>
      <c r="C38" s="458"/>
      <c r="D38" s="458"/>
      <c r="E38" s="458"/>
      <c r="F38" s="87" t="str">
        <f>I2</f>
        <v>(SABANETA)</v>
      </c>
      <c r="G38" s="461"/>
      <c r="H38" s="461"/>
      <c r="I38" s="461"/>
      <c r="J38" s="462"/>
      <c r="K38" s="84" t="str">
        <f>J2</f>
        <v>Enero de 2017</v>
      </c>
      <c r="L38" s="55"/>
    </row>
    <row r="39" spans="1:13" ht="14.25" customHeight="1" x14ac:dyDescent="0.25">
      <c r="A39" s="447" t="s">
        <v>55</v>
      </c>
      <c r="B39" s="448"/>
      <c r="C39" s="448"/>
      <c r="D39" s="448"/>
      <c r="E39" s="448"/>
      <c r="F39" s="448"/>
      <c r="G39" s="448"/>
      <c r="H39" s="448"/>
      <c r="I39" s="448"/>
      <c r="J39" s="448"/>
      <c r="K39" s="449"/>
      <c r="L39" s="55"/>
    </row>
    <row r="40" spans="1:13" ht="14.25" customHeight="1" x14ac:dyDescent="0.25">
      <c r="A40" s="450" t="s">
        <v>56</v>
      </c>
      <c r="B40" s="451"/>
      <c r="C40" s="451"/>
      <c r="D40" s="451"/>
      <c r="E40" s="451"/>
      <c r="F40" s="451"/>
      <c r="G40" s="451"/>
      <c r="H40" s="451"/>
      <c r="I40" s="451"/>
      <c r="J40" s="451"/>
      <c r="K40" s="452"/>
      <c r="L40" s="55"/>
    </row>
    <row r="41" spans="1:13" ht="14.25" customHeight="1" x14ac:dyDescent="0.25">
      <c r="A41" s="232" t="s">
        <v>46</v>
      </c>
      <c r="B41" s="233"/>
      <c r="C41" s="96" t="s">
        <v>48</v>
      </c>
      <c r="D41" s="101" t="s">
        <v>47</v>
      </c>
      <c r="E41" s="100" t="s">
        <v>49</v>
      </c>
      <c r="F41" s="102" t="s">
        <v>47</v>
      </c>
      <c r="G41" s="100" t="s">
        <v>164</v>
      </c>
      <c r="H41" s="103" t="s">
        <v>47</v>
      </c>
      <c r="I41" s="104"/>
      <c r="J41" s="104"/>
      <c r="K41" s="105"/>
      <c r="L41" s="55"/>
    </row>
    <row r="42" spans="1:13" ht="15.75" customHeight="1" x14ac:dyDescent="0.25">
      <c r="A42" s="395" t="s">
        <v>0</v>
      </c>
      <c r="B42" s="396"/>
      <c r="C42" s="396"/>
      <c r="D42" s="396"/>
      <c r="E42" s="396"/>
      <c r="F42" s="396"/>
      <c r="G42" s="396"/>
      <c r="H42" s="396"/>
      <c r="I42" s="396"/>
      <c r="J42" s="396"/>
      <c r="K42" s="397"/>
      <c r="L42" s="55"/>
    </row>
    <row r="43" spans="1:13" x14ac:dyDescent="0.25">
      <c r="A43" s="190" t="s">
        <v>1</v>
      </c>
      <c r="B43" s="191"/>
      <c r="C43" s="390">
        <v>3</v>
      </c>
      <c r="D43" s="390"/>
      <c r="E43" s="193" t="s">
        <v>36</v>
      </c>
      <c r="F43" s="193"/>
      <c r="G43" s="193"/>
      <c r="H43" s="193"/>
      <c r="I43" s="193"/>
      <c r="J43" s="390">
        <v>4.226</v>
      </c>
      <c r="K43" s="440"/>
      <c r="L43" s="55"/>
    </row>
    <row r="44" spans="1:13" x14ac:dyDescent="0.25">
      <c r="A44" s="173" t="s">
        <v>2</v>
      </c>
      <c r="B44" s="174"/>
      <c r="C44" s="174"/>
      <c r="D44" s="174"/>
      <c r="E44" s="174"/>
      <c r="F44" s="174"/>
      <c r="G44" s="386" t="s">
        <v>42</v>
      </c>
      <c r="H44" s="386"/>
      <c r="I44" s="386"/>
      <c r="J44" s="386"/>
      <c r="K44" s="387"/>
      <c r="L44" s="55"/>
    </row>
    <row r="45" spans="1:13" x14ac:dyDescent="0.25">
      <c r="A45" s="152" t="s">
        <v>194</v>
      </c>
      <c r="B45" s="153"/>
      <c r="C45" s="156" t="s">
        <v>37</v>
      </c>
      <c r="D45" s="156"/>
      <c r="E45" s="269" t="s">
        <v>6</v>
      </c>
      <c r="F45" s="269"/>
      <c r="G45" s="384" t="s">
        <v>40</v>
      </c>
      <c r="H45" s="384"/>
      <c r="I45" s="384"/>
      <c r="J45" s="384" t="s">
        <v>41</v>
      </c>
      <c r="K45" s="453"/>
      <c r="L45" s="55"/>
    </row>
    <row r="46" spans="1:13" x14ac:dyDescent="0.25">
      <c r="A46" s="152"/>
      <c r="B46" s="153"/>
      <c r="C46" s="156"/>
      <c r="D46" s="156"/>
      <c r="E46" s="73" t="s">
        <v>38</v>
      </c>
      <c r="F46" s="73" t="s">
        <v>39</v>
      </c>
      <c r="G46" s="269">
        <f>IF(J43&gt;=20,20,J43)</f>
        <v>4.226</v>
      </c>
      <c r="H46" s="269"/>
      <c r="I46" s="269"/>
      <c r="J46" s="269">
        <f>IF(J43&gt;=20,J43-G46,0)</f>
        <v>0</v>
      </c>
      <c r="K46" s="454"/>
      <c r="L46" s="55"/>
    </row>
    <row r="47" spans="1:13" x14ac:dyDescent="0.25">
      <c r="A47" s="159" t="s">
        <v>25</v>
      </c>
      <c r="B47" s="160"/>
      <c r="C47" s="269">
        <v>0</v>
      </c>
      <c r="D47" s="269"/>
      <c r="E47" s="73">
        <v>657.84</v>
      </c>
      <c r="F47" s="73">
        <v>1262.6300000000001</v>
      </c>
      <c r="G47" s="227" t="s">
        <v>30</v>
      </c>
      <c r="H47" s="227"/>
      <c r="I47" s="227"/>
      <c r="J47" s="227"/>
      <c r="K47" s="228"/>
      <c r="L47" s="55"/>
    </row>
    <row r="48" spans="1:13" x14ac:dyDescent="0.25">
      <c r="A48" s="159" t="s">
        <v>21</v>
      </c>
      <c r="B48" s="160"/>
      <c r="C48" s="269">
        <v>0</v>
      </c>
      <c r="D48" s="269"/>
      <c r="E48" s="73">
        <v>818.93</v>
      </c>
      <c r="F48" s="73">
        <v>1262.6300000000001</v>
      </c>
      <c r="G48" s="384" t="s">
        <v>43</v>
      </c>
      <c r="H48" s="384"/>
      <c r="I48" s="384"/>
      <c r="J48" s="230">
        <f>IF(J43&gt;=20,0,IF(C43=1,C47+E47*G46,IF(C43=2,C48+E48*G46,IF(C43=3,C49+E49*G46,IF(C43=4,C50+E50*G46,IF(C43=5,C51+E51*G46,IF(C43=6,C52+E52*G46)))))))</f>
        <v>8273.5443799999994</v>
      </c>
      <c r="K48" s="231"/>
      <c r="L48" s="55"/>
      <c r="M48" s="19"/>
    </row>
    <row r="49" spans="1:12" x14ac:dyDescent="0.25">
      <c r="A49" s="159" t="s">
        <v>24</v>
      </c>
      <c r="B49" s="160"/>
      <c r="C49" s="269">
        <v>2937.67</v>
      </c>
      <c r="D49" s="269"/>
      <c r="E49" s="73">
        <v>1262.6300000000001</v>
      </c>
      <c r="F49" s="73">
        <v>1262.6300000000001</v>
      </c>
      <c r="G49" s="384" t="s">
        <v>44</v>
      </c>
      <c r="H49" s="384"/>
      <c r="I49" s="384"/>
      <c r="J49" s="230">
        <f>IF(J43&lt;20,0,IF(C43=1,C47+F47*J43,IF(C43=2,C48+F48*J43,IF(C43=3,C49+F49*J43,IF(C43=4,C50+F50*J43,IF(C43=5,C51+F51*J43,IF(C43=6,C52+F52*J43)))))))</f>
        <v>0</v>
      </c>
      <c r="K49" s="231"/>
      <c r="L49" s="55"/>
    </row>
    <row r="50" spans="1:12" x14ac:dyDescent="0.25">
      <c r="A50" s="159" t="s">
        <v>22</v>
      </c>
      <c r="B50" s="160"/>
      <c r="C50" s="269">
        <v>2938.67</v>
      </c>
      <c r="D50" s="269"/>
      <c r="E50" s="73">
        <v>1262.6300000000001</v>
      </c>
      <c r="F50" s="73">
        <v>1262.6300000000001</v>
      </c>
      <c r="G50" s="384" t="s">
        <v>11</v>
      </c>
      <c r="H50" s="384"/>
      <c r="I50" s="384"/>
      <c r="J50" s="230">
        <f>IF(C43=1,SUM(J48:K49)*-N8,IF(C43=2,-SUM(J48:K49)*N9,IF(C43=3,-SUM(J48:K49)*N10,IF(C43=4,0,IF(C43=5,SUM(J48:K49)*0.2,IF(C43=6,0.2*SUM(J48:K49)))))))</f>
        <v>-1241.0316569999998</v>
      </c>
      <c r="K50" s="231"/>
      <c r="L50" s="55"/>
    </row>
    <row r="51" spans="1:12" x14ac:dyDescent="0.25">
      <c r="A51" s="159" t="s">
        <v>23</v>
      </c>
      <c r="B51" s="160"/>
      <c r="C51" s="269">
        <v>3525.2</v>
      </c>
      <c r="D51" s="269"/>
      <c r="E51" s="73">
        <v>1515.16</v>
      </c>
      <c r="F51" s="73">
        <v>1515.16</v>
      </c>
      <c r="G51" s="384" t="s">
        <v>17</v>
      </c>
      <c r="H51" s="384"/>
      <c r="I51" s="384"/>
      <c r="J51" s="230">
        <f>IF(MOD(SUM(J48:J50),1)&lt;=0.5,-ABS(ROUND(SUM(J48:J50),0)-SUM(J48:J50)),ABS(ROUND(SUM(J48:J50),0)-SUM(J48:J50)))</f>
        <v>0.48727700000017649</v>
      </c>
      <c r="K51" s="231"/>
      <c r="L51" s="55"/>
    </row>
    <row r="52" spans="1:12" ht="23.25" customHeight="1" x14ac:dyDescent="0.25">
      <c r="A52" s="388" t="s">
        <v>26</v>
      </c>
      <c r="B52" s="389"/>
      <c r="C52" s="384">
        <v>3525.2</v>
      </c>
      <c r="D52" s="384"/>
      <c r="E52" s="384">
        <v>1515.16</v>
      </c>
      <c r="F52" s="384">
        <v>1515.16</v>
      </c>
      <c r="G52" s="236" t="s">
        <v>169</v>
      </c>
      <c r="H52" s="237"/>
      <c r="I52" s="237"/>
      <c r="J52" s="244">
        <v>0</v>
      </c>
      <c r="K52" s="245"/>
      <c r="L52" s="55"/>
    </row>
    <row r="53" spans="1:12" ht="15.75" thickBot="1" x14ac:dyDescent="0.3">
      <c r="A53" s="150"/>
      <c r="B53" s="151"/>
      <c r="C53" s="385"/>
      <c r="D53" s="385"/>
      <c r="E53" s="385"/>
      <c r="F53" s="432"/>
      <c r="G53" s="429" t="s">
        <v>20</v>
      </c>
      <c r="H53" s="430"/>
      <c r="I53" s="430"/>
      <c r="J53" s="463">
        <f>IF(ISNUMBER(SUM(J47:J52)),SUM(J47:J52),"FALTAN VALORES")</f>
        <v>7033</v>
      </c>
      <c r="K53" s="464"/>
      <c r="L53" s="55"/>
    </row>
    <row r="54" spans="1:12" ht="40.5" customHeight="1" thickBot="1" x14ac:dyDescent="0.3">
      <c r="A54" s="391" t="s">
        <v>73</v>
      </c>
      <c r="B54" s="392"/>
      <c r="C54" s="392"/>
      <c r="D54" s="392"/>
      <c r="E54" s="392"/>
      <c r="F54" s="392"/>
      <c r="G54" s="88" t="str">
        <f>I2</f>
        <v>(SABANETA)</v>
      </c>
      <c r="H54" s="393"/>
      <c r="I54" s="393"/>
      <c r="J54" s="394"/>
      <c r="K54" s="84" t="str">
        <f>J2</f>
        <v>Enero de 2017</v>
      </c>
    </row>
    <row r="55" spans="1:12" x14ac:dyDescent="0.25">
      <c r="A55" s="238" t="s">
        <v>45</v>
      </c>
      <c r="B55" s="239"/>
      <c r="C55" s="239"/>
      <c r="D55" s="239"/>
      <c r="E55" s="239"/>
      <c r="F55" s="239"/>
      <c r="G55" s="239"/>
      <c r="H55" s="239"/>
      <c r="I55" s="239"/>
      <c r="J55" s="239"/>
      <c r="K55" s="240"/>
    </row>
    <row r="56" spans="1:12" ht="12.75" customHeight="1" x14ac:dyDescent="0.25">
      <c r="A56" s="241" t="s">
        <v>74</v>
      </c>
      <c r="B56" s="242"/>
      <c r="C56" s="242"/>
      <c r="D56" s="242"/>
      <c r="E56" s="242"/>
      <c r="F56" s="242"/>
      <c r="G56" s="242"/>
      <c r="H56" s="242"/>
      <c r="I56" s="242"/>
      <c r="J56" s="242"/>
      <c r="K56" s="243"/>
    </row>
    <row r="57" spans="1:12" x14ac:dyDescent="0.25">
      <c r="A57" s="232" t="s">
        <v>46</v>
      </c>
      <c r="B57" s="233"/>
      <c r="C57" s="96" t="s">
        <v>48</v>
      </c>
      <c r="D57" s="106" t="s">
        <v>47</v>
      </c>
      <c r="E57" s="96" t="s">
        <v>49</v>
      </c>
      <c r="F57" s="106" t="s">
        <v>47</v>
      </c>
      <c r="G57" s="96" t="s">
        <v>50</v>
      </c>
      <c r="H57" s="106" t="s">
        <v>47</v>
      </c>
      <c r="I57" s="465"/>
      <c r="J57" s="465"/>
      <c r="K57" s="466"/>
    </row>
    <row r="58" spans="1:12" ht="15.75" customHeight="1" x14ac:dyDescent="0.25">
      <c r="A58" s="395" t="s">
        <v>0</v>
      </c>
      <c r="B58" s="396"/>
      <c r="C58" s="396"/>
      <c r="D58" s="396"/>
      <c r="E58" s="396"/>
      <c r="F58" s="396"/>
      <c r="G58" s="396"/>
      <c r="H58" s="396"/>
      <c r="I58" s="396"/>
      <c r="J58" s="396"/>
      <c r="K58" s="397"/>
    </row>
    <row r="59" spans="1:12" ht="26.25" customHeight="1" x14ac:dyDescent="0.25">
      <c r="A59" s="368" t="s">
        <v>1</v>
      </c>
      <c r="B59" s="369"/>
      <c r="C59" s="229">
        <v>5</v>
      </c>
      <c r="D59" s="229"/>
      <c r="E59" s="89" t="s">
        <v>129</v>
      </c>
      <c r="F59" s="90" t="s">
        <v>118</v>
      </c>
      <c r="G59" s="153" t="s">
        <v>190</v>
      </c>
      <c r="H59" s="153"/>
      <c r="I59" s="91">
        <v>689454</v>
      </c>
      <c r="J59" s="92" t="s">
        <v>198</v>
      </c>
      <c r="K59" s="93">
        <v>29753</v>
      </c>
    </row>
    <row r="60" spans="1:12" x14ac:dyDescent="0.25">
      <c r="A60" s="173" t="s">
        <v>2</v>
      </c>
      <c r="B60" s="174"/>
      <c r="C60" s="174"/>
      <c r="D60" s="174"/>
      <c r="E60" s="174"/>
      <c r="F60" s="174"/>
      <c r="G60" s="174"/>
      <c r="H60" s="174"/>
      <c r="I60" s="174"/>
      <c r="J60" s="174"/>
      <c r="K60" s="175"/>
    </row>
    <row r="61" spans="1:12" ht="24.75" customHeight="1" x14ac:dyDescent="0.25">
      <c r="A61" s="368" t="s">
        <v>194</v>
      </c>
      <c r="B61" s="369"/>
      <c r="C61" s="156" t="s">
        <v>167</v>
      </c>
      <c r="D61" s="156"/>
      <c r="E61" s="156"/>
      <c r="F61" s="156"/>
      <c r="G61" s="227" t="s">
        <v>30</v>
      </c>
      <c r="H61" s="227"/>
      <c r="I61" s="227"/>
      <c r="J61" s="227"/>
      <c r="K61" s="228"/>
    </row>
    <row r="62" spans="1:12" ht="17.25" customHeight="1" x14ac:dyDescent="0.25">
      <c r="A62" s="368"/>
      <c r="B62" s="369"/>
      <c r="C62" s="156" t="s">
        <v>118</v>
      </c>
      <c r="D62" s="156"/>
      <c r="E62" s="156" t="s">
        <v>119</v>
      </c>
      <c r="F62" s="156"/>
      <c r="G62" s="227"/>
      <c r="H62" s="227"/>
      <c r="I62" s="227"/>
      <c r="J62" s="227"/>
      <c r="K62" s="228"/>
    </row>
    <row r="63" spans="1:12" x14ac:dyDescent="0.25">
      <c r="A63" s="159" t="s">
        <v>25</v>
      </c>
      <c r="B63" s="160"/>
      <c r="C63" s="269">
        <v>0.11</v>
      </c>
      <c r="D63" s="269"/>
      <c r="E63" s="269" t="s">
        <v>122</v>
      </c>
      <c r="F63" s="269"/>
      <c r="G63" s="156" t="s">
        <v>52</v>
      </c>
      <c r="H63" s="156"/>
      <c r="I63" s="156"/>
      <c r="J63" s="156"/>
      <c r="K63" s="424"/>
    </row>
    <row r="64" spans="1:12" x14ac:dyDescent="0.25">
      <c r="A64" s="159" t="s">
        <v>21</v>
      </c>
      <c r="B64" s="160"/>
      <c r="C64" s="269">
        <v>0.14000000000000001</v>
      </c>
      <c r="D64" s="269"/>
      <c r="E64" s="269" t="s">
        <v>122</v>
      </c>
      <c r="F64" s="269"/>
      <c r="G64" s="193" t="s">
        <v>193</v>
      </c>
      <c r="H64" s="193"/>
      <c r="I64" s="193"/>
      <c r="J64" s="193"/>
      <c r="K64" s="403"/>
    </row>
    <row r="65" spans="1:12" ht="15.75" customHeight="1" x14ac:dyDescent="0.25">
      <c r="A65" s="159" t="s">
        <v>24</v>
      </c>
      <c r="B65" s="160"/>
      <c r="C65" s="269">
        <v>0.25</v>
      </c>
      <c r="D65" s="269"/>
      <c r="E65" s="269" t="s">
        <v>122</v>
      </c>
      <c r="F65" s="269"/>
      <c r="G65" s="404"/>
      <c r="H65" s="404"/>
      <c r="I65" s="404"/>
      <c r="J65" s="404"/>
      <c r="K65" s="405"/>
    </row>
    <row r="66" spans="1:12" ht="15.75" customHeight="1" x14ac:dyDescent="0.25">
      <c r="A66" s="159" t="s">
        <v>22</v>
      </c>
      <c r="B66" s="160"/>
      <c r="C66" s="269">
        <v>0.62</v>
      </c>
      <c r="D66" s="269"/>
      <c r="E66" s="269" t="s">
        <v>122</v>
      </c>
      <c r="F66" s="269"/>
      <c r="G66" s="398" t="s">
        <v>20</v>
      </c>
      <c r="H66" s="398"/>
      <c r="I66" s="398"/>
      <c r="J66" s="399"/>
      <c r="K66" s="400">
        <f>IF(I2="(GIRARDOTA)",IF(AND(C59=1,F59="Urbano"),C63*I59,IF(AND(C59=2,F59="Urbano"),C64*I59,IF(AND(C59=3,F59="Urbano"),C65*I59,IF(AND(C59=4,F59="Urbano"),C66*I59,IF(AND(C59=5,F59="Urbano"),C67*I59,IF(AND(C59=6,F59="Urbano"),C68*I59,IF(AND(C59=1,F59="Rural"),E63*I59,IF(AND(C59=2,F59="Rural"),E64*I59,IF(AND(C59=3,F59="Rural"),E65*I59,IF(AND(C59=4,F59="Rural"),E66*I59,IF(AND(C59=5,F59="Rural"),E67*I59,IF(AND(C59=6,F59="Rural"),E68*I59)))))))))))),IF(AND(C59=1,F59="Urbano"),C63*K59,IF(AND(C59=2,F59="Urbano"),C64*K59,IF(AND(C59=3,F59="Urbano"),C65*K59,IF(AND(C59=4,F59="Urbano"),C66*K59,IF(AND(C59=5,F59="Urbano"),C67*K59,IF(AND(C59=6,F59="Urbano"),C68*K59,IF(AND(C59=1,F59="Rural"),E63*K59,IF(AND(C59=2,F59="Rural"),E64*K59,IF(AND(C59=3,F59="Rural"),E65*K59,IF(AND(C59=4,F59="Rural"),E66*K59,IF(AND(C59=5,F59="Rural"),E67*K59,IF(AND(C59=6,F59="Rural"),E68*K59,"FALTAN VALORES")))))))))))))</f>
        <v>29753</v>
      </c>
    </row>
    <row r="67" spans="1:12" ht="15.75" customHeight="1" x14ac:dyDescent="0.25">
      <c r="A67" s="159" t="s">
        <v>23</v>
      </c>
      <c r="B67" s="160"/>
      <c r="C67" s="269">
        <v>1</v>
      </c>
      <c r="D67" s="269"/>
      <c r="E67" s="269" t="s">
        <v>122</v>
      </c>
      <c r="F67" s="269"/>
      <c r="G67" s="398"/>
      <c r="H67" s="398"/>
      <c r="I67" s="398"/>
      <c r="J67" s="399"/>
      <c r="K67" s="401"/>
    </row>
    <row r="68" spans="1:12" ht="15.75" customHeight="1" thickBot="1" x14ac:dyDescent="0.3">
      <c r="A68" s="150" t="s">
        <v>26</v>
      </c>
      <c r="B68" s="151"/>
      <c r="C68" s="383">
        <v>1.52</v>
      </c>
      <c r="D68" s="383"/>
      <c r="E68" s="383" t="s">
        <v>122</v>
      </c>
      <c r="F68" s="383"/>
      <c r="G68" s="398"/>
      <c r="H68" s="398"/>
      <c r="I68" s="398"/>
      <c r="J68" s="399"/>
      <c r="K68" s="402"/>
    </row>
    <row r="69" spans="1:12" ht="36.75" customHeight="1" x14ac:dyDescent="0.25">
      <c r="A69" s="234" t="s">
        <v>77</v>
      </c>
      <c r="B69" s="235"/>
      <c r="C69" s="235"/>
      <c r="D69" s="235"/>
      <c r="E69" s="235"/>
      <c r="F69" s="235"/>
      <c r="G69" s="137" t="str">
        <f>I2</f>
        <v>(SABANETA)</v>
      </c>
      <c r="H69" s="225"/>
      <c r="I69" s="225"/>
      <c r="J69" s="226"/>
      <c r="K69" s="84" t="str">
        <f>J2</f>
        <v>Enero de 2017</v>
      </c>
      <c r="L69" s="222" t="s">
        <v>192</v>
      </c>
    </row>
    <row r="70" spans="1:12" ht="14.25" customHeight="1" x14ac:dyDescent="0.25">
      <c r="A70" s="232" t="s">
        <v>46</v>
      </c>
      <c r="B70" s="233"/>
      <c r="C70" s="96" t="s">
        <v>48</v>
      </c>
      <c r="D70" s="106" t="s">
        <v>47</v>
      </c>
      <c r="E70" s="107"/>
      <c r="F70" s="107"/>
      <c r="G70" s="108"/>
      <c r="H70" s="107"/>
      <c r="I70" s="107"/>
      <c r="J70" s="107"/>
      <c r="K70" s="109"/>
      <c r="L70" s="223"/>
    </row>
    <row r="71" spans="1:12" ht="15.75" customHeight="1" x14ac:dyDescent="0.25">
      <c r="A71" s="395" t="s">
        <v>0</v>
      </c>
      <c r="B71" s="396"/>
      <c r="C71" s="396"/>
      <c r="D71" s="396"/>
      <c r="E71" s="396"/>
      <c r="F71" s="396"/>
      <c r="G71" s="396"/>
      <c r="H71" s="396"/>
      <c r="I71" s="396"/>
      <c r="J71" s="396"/>
      <c r="K71" s="397"/>
      <c r="L71" s="223"/>
    </row>
    <row r="72" spans="1:12" x14ac:dyDescent="0.25">
      <c r="A72" s="190" t="s">
        <v>1</v>
      </c>
      <c r="B72" s="191"/>
      <c r="C72" s="390">
        <v>3</v>
      </c>
      <c r="D72" s="390"/>
      <c r="E72" s="193" t="s">
        <v>130</v>
      </c>
      <c r="F72" s="193"/>
      <c r="G72" s="193"/>
      <c r="H72" s="193"/>
      <c r="I72" s="193"/>
      <c r="J72" s="390">
        <v>2.5999999999999999E-2</v>
      </c>
      <c r="K72" s="440"/>
      <c r="L72" s="223"/>
    </row>
    <row r="73" spans="1:12" x14ac:dyDescent="0.25">
      <c r="A73" s="173" t="s">
        <v>2</v>
      </c>
      <c r="B73" s="174"/>
      <c r="C73" s="174"/>
      <c r="D73" s="174"/>
      <c r="E73" s="174"/>
      <c r="F73" s="174"/>
      <c r="G73" s="174"/>
      <c r="H73" s="174"/>
      <c r="I73" s="174"/>
      <c r="J73" s="174"/>
      <c r="K73" s="175"/>
      <c r="L73" s="223"/>
    </row>
    <row r="74" spans="1:12" ht="27.75" customHeight="1" x14ac:dyDescent="0.25">
      <c r="A74" s="152" t="s">
        <v>194</v>
      </c>
      <c r="B74" s="153"/>
      <c r="C74" s="76" t="s">
        <v>171</v>
      </c>
      <c r="D74" s="154" t="s">
        <v>196</v>
      </c>
      <c r="E74" s="155"/>
      <c r="F74" s="156" t="s">
        <v>166</v>
      </c>
      <c r="G74" s="156"/>
      <c r="H74" s="227" t="s">
        <v>86</v>
      </c>
      <c r="I74" s="227"/>
      <c r="J74" s="227"/>
      <c r="K74" s="228"/>
      <c r="L74" s="223"/>
    </row>
    <row r="75" spans="1:12" x14ac:dyDescent="0.25">
      <c r="A75" s="159" t="s">
        <v>25</v>
      </c>
      <c r="B75" s="160"/>
      <c r="C75" s="76">
        <v>-0.7</v>
      </c>
      <c r="D75" s="154">
        <v>3157</v>
      </c>
      <c r="E75" s="155"/>
      <c r="F75" s="156">
        <v>127384</v>
      </c>
      <c r="G75" s="156"/>
      <c r="H75" s="154" t="s">
        <v>52</v>
      </c>
      <c r="I75" s="176"/>
      <c r="J75" s="176"/>
      <c r="K75" s="177"/>
      <c r="L75" s="223"/>
    </row>
    <row r="76" spans="1:12" ht="15" customHeight="1" x14ac:dyDescent="0.25">
      <c r="A76" s="159" t="s">
        <v>21</v>
      </c>
      <c r="B76" s="160"/>
      <c r="C76" s="76">
        <v>-0.4</v>
      </c>
      <c r="D76" s="154">
        <v>1513</v>
      </c>
      <c r="E76" s="155"/>
      <c r="F76" s="156">
        <v>26669</v>
      </c>
      <c r="G76" s="156"/>
      <c r="H76" s="156" t="s">
        <v>197</v>
      </c>
      <c r="I76" s="156"/>
      <c r="J76" s="156"/>
      <c r="K76" s="135">
        <f>IF(C72=1,D78+F78*J72+(D78+F78*J72)*C75,IF(C72=2,D78+F78*J72+(D78+F78*J72)*C76,IF(C72=3,D78+F78*J72+(D78+F78*J72)*C77,IF(C72=4,D78+F78*J72+(D78+F78*J72)*C78,IF(C72=5,D78+F78*J72+(D78+F78*J72)*C79,IF(C72=6,D78+F78*J72+(D78+F78*J72)*C80))))))</f>
        <v>7441.4983999999995</v>
      </c>
      <c r="L76" s="223"/>
    </row>
    <row r="77" spans="1:12" x14ac:dyDescent="0.25">
      <c r="A77" s="159" t="s">
        <v>24</v>
      </c>
      <c r="B77" s="160"/>
      <c r="C77" s="76">
        <v>-0.15</v>
      </c>
      <c r="D77" s="154">
        <v>0</v>
      </c>
      <c r="E77" s="155"/>
      <c r="F77" s="156">
        <v>3051</v>
      </c>
      <c r="G77" s="156"/>
      <c r="H77" s="156" t="s">
        <v>17</v>
      </c>
      <c r="I77" s="156"/>
      <c r="J77" s="156"/>
      <c r="K77" s="136">
        <f>IF(MOD(K76,1)&lt;=0.5,-ABS(ROUND(K76,0)-K76),ABS(ROUND(K76,0)-K76))</f>
        <v>-0.49839999999949214</v>
      </c>
      <c r="L77" s="223"/>
    </row>
    <row r="78" spans="1:12" ht="15" customHeight="1" x14ac:dyDescent="0.25">
      <c r="A78" s="159" t="s">
        <v>22</v>
      </c>
      <c r="B78" s="160"/>
      <c r="C78" s="76">
        <v>0</v>
      </c>
      <c r="D78" s="161">
        <v>4670</v>
      </c>
      <c r="E78" s="162"/>
      <c r="F78" s="161">
        <v>157104</v>
      </c>
      <c r="G78" s="162"/>
      <c r="H78" s="167" t="s">
        <v>20</v>
      </c>
      <c r="I78" s="168"/>
      <c r="J78" s="168"/>
      <c r="K78" s="147">
        <f>IF(ISNUMBER(SUM(K76:K77)),SUM(K76:K77),"FALTAN VALORES")</f>
        <v>7441</v>
      </c>
      <c r="L78" s="223"/>
    </row>
    <row r="79" spans="1:12" ht="15" customHeight="1" x14ac:dyDescent="0.25">
      <c r="A79" s="159" t="s">
        <v>23</v>
      </c>
      <c r="B79" s="160"/>
      <c r="C79" s="76">
        <v>0.5</v>
      </c>
      <c r="D79" s="163"/>
      <c r="E79" s="164"/>
      <c r="F79" s="163"/>
      <c r="G79" s="164"/>
      <c r="H79" s="169"/>
      <c r="I79" s="170"/>
      <c r="J79" s="170"/>
      <c r="K79" s="148"/>
      <c r="L79" s="223"/>
    </row>
    <row r="80" spans="1:12" ht="15.75" customHeight="1" thickBot="1" x14ac:dyDescent="0.3">
      <c r="A80" s="150" t="s">
        <v>26</v>
      </c>
      <c r="B80" s="151"/>
      <c r="C80" s="134">
        <v>0.6</v>
      </c>
      <c r="D80" s="165"/>
      <c r="E80" s="166"/>
      <c r="F80" s="165"/>
      <c r="G80" s="166"/>
      <c r="H80" s="171"/>
      <c r="I80" s="172"/>
      <c r="J80" s="172"/>
      <c r="K80" s="149"/>
      <c r="L80" s="224"/>
    </row>
    <row r="81" spans="1:11" x14ac:dyDescent="0.25">
      <c r="A81" s="373"/>
      <c r="B81" s="374"/>
      <c r="C81" s="374"/>
      <c r="D81" s="374"/>
      <c r="E81" s="374"/>
      <c r="F81" s="374"/>
      <c r="G81" s="374"/>
      <c r="H81" s="374"/>
      <c r="I81" s="374"/>
      <c r="J81" s="374"/>
      <c r="K81" s="375"/>
    </row>
    <row r="82" spans="1:11" x14ac:dyDescent="0.25">
      <c r="A82" s="373"/>
      <c r="B82" s="374"/>
      <c r="C82" s="374"/>
      <c r="D82" s="374"/>
      <c r="E82" s="374"/>
      <c r="F82" s="374"/>
      <c r="G82" s="374"/>
      <c r="H82" s="374"/>
      <c r="I82" s="374"/>
      <c r="J82" s="374"/>
      <c r="K82" s="375"/>
    </row>
    <row r="83" spans="1:11" ht="15.75" thickBot="1" x14ac:dyDescent="0.3">
      <c r="A83" s="376"/>
      <c r="B83" s="377"/>
      <c r="C83" s="377"/>
      <c r="D83" s="377"/>
      <c r="E83" s="377"/>
      <c r="F83" s="377"/>
      <c r="G83" s="377"/>
      <c r="H83" s="377"/>
      <c r="I83" s="377"/>
      <c r="J83" s="377"/>
      <c r="K83" s="378"/>
    </row>
    <row r="84" spans="1:11" ht="42" customHeight="1" thickBot="1" x14ac:dyDescent="0.3">
      <c r="A84" s="381" t="s">
        <v>135</v>
      </c>
      <c r="B84" s="382"/>
      <c r="C84" s="382"/>
      <c r="D84" s="382"/>
      <c r="E84" s="382"/>
      <c r="F84" s="382"/>
      <c r="G84" s="128"/>
      <c r="H84" s="379"/>
      <c r="I84" s="379"/>
      <c r="J84" s="380"/>
      <c r="K84" s="47" t="str">
        <f>K69</f>
        <v>Enero de 2017</v>
      </c>
    </row>
    <row r="85" spans="1:11" ht="19.5" customHeight="1" x14ac:dyDescent="0.25">
      <c r="A85" s="372" t="s">
        <v>1</v>
      </c>
      <c r="B85" s="372"/>
      <c r="C85" s="372"/>
      <c r="D85" s="371">
        <v>2</v>
      </c>
      <c r="E85" s="371"/>
      <c r="F85" s="370" t="s">
        <v>131</v>
      </c>
      <c r="G85" s="370"/>
      <c r="H85" s="370"/>
      <c r="I85" s="370"/>
      <c r="J85" s="278">
        <v>2</v>
      </c>
      <c r="K85" s="278"/>
    </row>
    <row r="86" spans="1:11" ht="21" customHeight="1" x14ac:dyDescent="0.25">
      <c r="A86" s="193" t="s">
        <v>132</v>
      </c>
      <c r="B86" s="193"/>
      <c r="C86" s="193"/>
      <c r="D86" s="193"/>
      <c r="E86" s="193"/>
      <c r="F86" s="227" t="s">
        <v>30</v>
      </c>
      <c r="G86" s="227"/>
      <c r="H86" s="227"/>
      <c r="I86" s="227"/>
      <c r="J86" s="357"/>
      <c r="K86" s="357"/>
    </row>
    <row r="87" spans="1:11" ht="27.75" customHeight="1" x14ac:dyDescent="0.25">
      <c r="A87" s="153" t="s">
        <v>154</v>
      </c>
      <c r="B87" s="153"/>
      <c r="C87" s="153"/>
      <c r="D87" s="153" t="s">
        <v>159</v>
      </c>
      <c r="E87" s="153"/>
      <c r="F87" s="261" t="s">
        <v>138</v>
      </c>
      <c r="G87" s="262"/>
      <c r="H87" s="262"/>
      <c r="I87" s="263"/>
      <c r="J87" s="120">
        <f>D88*J85</f>
        <v>7.6</v>
      </c>
      <c r="K87" s="121" t="s">
        <v>140</v>
      </c>
    </row>
    <row r="88" spans="1:11" ht="25.5" customHeight="1" x14ac:dyDescent="0.25">
      <c r="A88" s="435" t="s">
        <v>155</v>
      </c>
      <c r="B88" s="435"/>
      <c r="C88" s="118" t="s">
        <v>59</v>
      </c>
      <c r="D88" s="276">
        <v>3.8</v>
      </c>
      <c r="E88" s="276"/>
      <c r="F88" s="264" t="s">
        <v>137</v>
      </c>
      <c r="G88" s="265"/>
      <c r="H88" s="265"/>
      <c r="I88" s="266"/>
      <c r="J88" s="122">
        <f>D89*J85</f>
        <v>76</v>
      </c>
      <c r="K88" s="123" t="s">
        <v>141</v>
      </c>
    </row>
    <row r="89" spans="1:11" ht="18" customHeight="1" x14ac:dyDescent="0.25">
      <c r="A89" s="436" t="s">
        <v>156</v>
      </c>
      <c r="B89" s="436"/>
      <c r="C89" s="119" t="s">
        <v>59</v>
      </c>
      <c r="D89" s="277">
        <v>38</v>
      </c>
      <c r="E89" s="277"/>
      <c r="F89" s="267" t="s">
        <v>139</v>
      </c>
      <c r="G89" s="267"/>
      <c r="H89" s="267"/>
      <c r="I89" s="268"/>
      <c r="J89" s="122">
        <f>D90*J85</f>
        <v>8</v>
      </c>
      <c r="K89" s="123" t="s">
        <v>140</v>
      </c>
    </row>
    <row r="90" spans="1:11" ht="15" customHeight="1" x14ac:dyDescent="0.25">
      <c r="A90" s="437" t="s">
        <v>157</v>
      </c>
      <c r="B90" s="437"/>
      <c r="C90" s="118" t="s">
        <v>59</v>
      </c>
      <c r="D90" s="274">
        <v>4</v>
      </c>
      <c r="E90" s="274"/>
      <c r="F90" s="269" t="s">
        <v>145</v>
      </c>
      <c r="G90" s="269"/>
      <c r="H90" s="269"/>
      <c r="I90" s="269"/>
      <c r="J90" s="270">
        <f>K117</f>
        <v>10341</v>
      </c>
      <c r="K90" s="271"/>
    </row>
    <row r="91" spans="1:11" ht="15" customHeight="1" x14ac:dyDescent="0.25">
      <c r="A91" s="438" t="s">
        <v>158</v>
      </c>
      <c r="B91" s="439"/>
      <c r="C91" s="106" t="s">
        <v>47</v>
      </c>
      <c r="D91" s="275"/>
      <c r="E91" s="275"/>
      <c r="F91" s="269" t="s">
        <v>146</v>
      </c>
      <c r="G91" s="269"/>
      <c r="H91" s="269"/>
      <c r="I91" s="269"/>
      <c r="J91" s="272">
        <f>K124</f>
        <v>9368</v>
      </c>
      <c r="K91" s="273"/>
    </row>
    <row r="92" spans="1:11" ht="15.75" customHeight="1" x14ac:dyDescent="0.25">
      <c r="A92" s="252" t="s">
        <v>152</v>
      </c>
      <c r="B92" s="253"/>
      <c r="C92" s="124" t="s">
        <v>122</v>
      </c>
      <c r="D92" s="254">
        <f>K66</f>
        <v>29753</v>
      </c>
      <c r="E92" s="255"/>
      <c r="F92" s="269" t="s">
        <v>142</v>
      </c>
      <c r="G92" s="269"/>
      <c r="H92" s="269"/>
      <c r="I92" s="269"/>
      <c r="J92" s="272">
        <f>K139</f>
        <v>11365</v>
      </c>
      <c r="K92" s="273"/>
    </row>
    <row r="93" spans="1:11" x14ac:dyDescent="0.25">
      <c r="A93" s="125"/>
      <c r="B93" s="126"/>
      <c r="C93" s="126"/>
      <c r="D93" s="126"/>
      <c r="E93" s="127"/>
      <c r="F93" s="358" t="s">
        <v>143</v>
      </c>
      <c r="G93" s="269"/>
      <c r="H93" s="269"/>
      <c r="I93" s="269"/>
      <c r="J93" s="272">
        <f>J154</f>
        <v>3931</v>
      </c>
      <c r="K93" s="273"/>
    </row>
    <row r="94" spans="1:11" x14ac:dyDescent="0.25">
      <c r="A94" s="138"/>
      <c r="B94" s="139"/>
      <c r="C94" s="139"/>
      <c r="D94" s="139"/>
      <c r="E94" s="140"/>
      <c r="F94" s="269" t="s">
        <v>153</v>
      </c>
      <c r="G94" s="269"/>
      <c r="H94" s="269"/>
      <c r="I94" s="269"/>
      <c r="J94" s="272">
        <f>D92</f>
        <v>29753</v>
      </c>
      <c r="K94" s="273"/>
    </row>
    <row r="95" spans="1:11" x14ac:dyDescent="0.25">
      <c r="A95" s="141"/>
      <c r="E95" s="142"/>
      <c r="F95" s="242" t="s">
        <v>144</v>
      </c>
      <c r="G95" s="242"/>
      <c r="H95" s="242"/>
      <c r="I95" s="242"/>
      <c r="J95" s="256">
        <f>K165</f>
        <v>5253</v>
      </c>
      <c r="K95" s="256"/>
    </row>
    <row r="96" spans="1:11" x14ac:dyDescent="0.25">
      <c r="A96" s="143"/>
      <c r="B96" s="144"/>
      <c r="C96" s="144"/>
      <c r="D96" s="144"/>
      <c r="E96" s="145"/>
      <c r="F96" s="259" t="s">
        <v>20</v>
      </c>
      <c r="G96" s="260"/>
      <c r="H96" s="260"/>
      <c r="I96" s="260"/>
      <c r="J96" s="257">
        <f>IF(ISNUMBER(SUM(J90:K95)),SUM(J90:K95),"FALTAN VALORES")</f>
        <v>70011</v>
      </c>
      <c r="K96" s="258"/>
    </row>
    <row r="100" spans="1:15" ht="15" hidden="1" customHeight="1" x14ac:dyDescent="0.25"/>
    <row r="101" spans="1:15" ht="15.75" hidden="1" customHeight="1" x14ac:dyDescent="0.25"/>
    <row r="104" spans="1:15" ht="15.75" hidden="1" thickBot="1" x14ac:dyDescent="0.3"/>
    <row r="105" spans="1:15" hidden="1" x14ac:dyDescent="0.25">
      <c r="A105" s="359" t="s">
        <v>149</v>
      </c>
      <c r="B105" s="360"/>
      <c r="C105" s="360"/>
      <c r="D105" s="360"/>
      <c r="E105" s="360"/>
      <c r="F105" s="360"/>
      <c r="G105" s="360"/>
      <c r="H105" s="360"/>
      <c r="I105" s="360"/>
      <c r="J105" s="360"/>
      <c r="K105" s="361"/>
    </row>
    <row r="106" spans="1:15" hidden="1" x14ac:dyDescent="0.25">
      <c r="A106" s="362"/>
      <c r="B106" s="363"/>
      <c r="C106" s="363"/>
      <c r="D106" s="363"/>
      <c r="E106" s="363"/>
      <c r="F106" s="363"/>
      <c r="G106" s="363"/>
      <c r="H106" s="363"/>
      <c r="I106" s="363"/>
      <c r="J106" s="363"/>
      <c r="K106" s="364"/>
    </row>
    <row r="107" spans="1:15" ht="15.75" hidden="1" thickBot="1" x14ac:dyDescent="0.3">
      <c r="A107" s="365"/>
      <c r="B107" s="366"/>
      <c r="C107" s="366"/>
      <c r="D107" s="366"/>
      <c r="E107" s="366"/>
      <c r="F107" s="366"/>
      <c r="G107" s="366"/>
      <c r="H107" s="366"/>
      <c r="I107" s="366"/>
      <c r="J107" s="366"/>
      <c r="K107" s="367"/>
    </row>
    <row r="108" spans="1:15" ht="22.5" hidden="1" customHeight="1" x14ac:dyDescent="0.25">
      <c r="A108" s="328" t="s">
        <v>148</v>
      </c>
      <c r="B108" s="329"/>
      <c r="C108" s="329"/>
      <c r="D108" s="329"/>
      <c r="E108" s="329"/>
      <c r="F108" s="329"/>
      <c r="G108" s="329"/>
      <c r="H108" s="329"/>
      <c r="I108" s="329"/>
      <c r="J108" s="329"/>
      <c r="K108" s="330"/>
      <c r="M108" s="318" t="s">
        <v>35</v>
      </c>
      <c r="N108" s="319"/>
      <c r="O108" s="320"/>
    </row>
    <row r="109" spans="1:15" ht="15.75" hidden="1" customHeight="1" thickBot="1" x14ac:dyDescent="0.3">
      <c r="A109" s="331"/>
      <c r="B109" s="332"/>
      <c r="C109" s="332"/>
      <c r="D109" s="332"/>
      <c r="E109" s="332"/>
      <c r="F109" s="332"/>
      <c r="G109" s="332"/>
      <c r="H109" s="332"/>
      <c r="I109" s="332"/>
      <c r="J109" s="332"/>
      <c r="K109" s="333"/>
      <c r="M109" s="321"/>
      <c r="N109" s="322"/>
      <c r="O109" s="323"/>
    </row>
    <row r="110" spans="1:15" ht="15.75" hidden="1" customHeight="1" thickBot="1" x14ac:dyDescent="0.3">
      <c r="A110" s="334"/>
      <c r="B110" s="335"/>
      <c r="C110" s="335"/>
      <c r="D110" s="335"/>
      <c r="E110" s="335"/>
      <c r="F110" s="335"/>
      <c r="G110" s="335"/>
      <c r="H110" s="335"/>
      <c r="I110" s="335"/>
      <c r="J110" s="335"/>
      <c r="K110" s="336"/>
      <c r="M110" s="2" t="s">
        <v>10</v>
      </c>
      <c r="N110" s="32" t="s">
        <v>11</v>
      </c>
      <c r="O110" s="33" t="s">
        <v>12</v>
      </c>
    </row>
    <row r="111" spans="1:15" ht="15.75" hidden="1" thickBot="1" x14ac:dyDescent="0.3">
      <c r="A111" s="324" t="s">
        <v>0</v>
      </c>
      <c r="B111" s="324"/>
      <c r="C111" s="324"/>
      <c r="D111" s="324"/>
      <c r="E111" s="325" t="s">
        <v>34</v>
      </c>
      <c r="F111" s="325"/>
      <c r="G111" s="325"/>
      <c r="H111" s="325"/>
      <c r="I111" s="289" t="s">
        <v>18</v>
      </c>
      <c r="J111" s="290"/>
      <c r="K111" s="291"/>
      <c r="M111" s="16">
        <v>1</v>
      </c>
      <c r="N111" s="3">
        <v>0.5</v>
      </c>
      <c r="O111" s="4"/>
    </row>
    <row r="112" spans="1:15" ht="15.75" hidden="1" thickBot="1" x14ac:dyDescent="0.3">
      <c r="A112" s="301" t="s">
        <v>1</v>
      </c>
      <c r="B112" s="302"/>
      <c r="C112" s="326">
        <f>D85</f>
        <v>2</v>
      </c>
      <c r="D112" s="327"/>
      <c r="E112" s="199" t="s">
        <v>32</v>
      </c>
      <c r="F112" s="200"/>
      <c r="G112" s="201" t="s">
        <v>33</v>
      </c>
      <c r="H112" s="203"/>
      <c r="I112" s="337" t="s">
        <v>28</v>
      </c>
      <c r="J112" s="337"/>
      <c r="K112" s="50">
        <f>IF(C112=1,C118*E113,IF(C112=2,C119*E113,IF(C112=3,C120*E113,IF(C112=4,C121*E113,IF(C112=5,C122*E113,IF(C112=6,C123*E113))))))</f>
        <v>7351.9359999999997</v>
      </c>
      <c r="M112" s="17">
        <v>2</v>
      </c>
      <c r="N112" s="5">
        <v>0.4</v>
      </c>
      <c r="O112" s="6"/>
    </row>
    <row r="113" spans="1:15" ht="27" hidden="1" customHeight="1" thickBot="1" x14ac:dyDescent="0.3">
      <c r="A113" s="195" t="s">
        <v>31</v>
      </c>
      <c r="B113" s="196"/>
      <c r="C113" s="63">
        <f>J87</f>
        <v>7.6</v>
      </c>
      <c r="D113" s="62">
        <f>J87</f>
        <v>7.6</v>
      </c>
      <c r="E113" s="18">
        <f>IF(C113&gt;=18,18,C113)</f>
        <v>7.6</v>
      </c>
      <c r="F113" s="18">
        <f>IF(D113&gt;=18,18,D113)</f>
        <v>7.6</v>
      </c>
      <c r="G113" s="58">
        <f>IF(C113&gt;=18,C113-E113,0)</f>
        <v>0</v>
      </c>
      <c r="H113" s="58">
        <f>IF(D113&gt;=18,D113-F113,0)</f>
        <v>0</v>
      </c>
      <c r="I113" s="201" t="s">
        <v>29</v>
      </c>
      <c r="J113" s="203"/>
      <c r="K113" s="50">
        <f>IF(C112=1,G113*D118,IF(C112=2,D119*G113,IF(C112=3,D120*G113,IF(C112=4,D121*G113,IF(C112=5,D122*G113,IF(C112=6,D123*G113))))))</f>
        <v>0</v>
      </c>
      <c r="M113" s="17">
        <v>3</v>
      </c>
      <c r="N113" s="5">
        <v>0.15</v>
      </c>
      <c r="O113" s="6"/>
    </row>
    <row r="114" spans="1:15" ht="15.75" hidden="1" thickBot="1" x14ac:dyDescent="0.3">
      <c r="A114" s="325" t="s">
        <v>2</v>
      </c>
      <c r="B114" s="325"/>
      <c r="C114" s="325"/>
      <c r="D114" s="325"/>
      <c r="E114" s="325"/>
      <c r="F114" s="325"/>
      <c r="G114" s="325"/>
      <c r="H114" s="325"/>
      <c r="I114" s="337" t="s">
        <v>3</v>
      </c>
      <c r="J114" s="337"/>
      <c r="K114" s="50">
        <f>IF(C112=1,B118,IF(C112=2,B119,IF(C112=3,B120,IF(C112=4,B121,IF(C112=5,B122,IF(C112=6,B123))))))</f>
        <v>4982.09</v>
      </c>
      <c r="L114" s="9"/>
      <c r="M114" s="17">
        <v>5</v>
      </c>
      <c r="N114" s="7"/>
      <c r="O114" s="8">
        <v>0.5</v>
      </c>
    </row>
    <row r="115" spans="1:15" ht="15.75" hidden="1" thickBot="1" x14ac:dyDescent="0.3">
      <c r="A115" s="325" t="s">
        <v>147</v>
      </c>
      <c r="B115" s="325"/>
      <c r="C115" s="325"/>
      <c r="D115" s="325"/>
      <c r="E115" s="325" t="s">
        <v>9</v>
      </c>
      <c r="F115" s="325"/>
      <c r="G115" s="325"/>
      <c r="H115" s="325"/>
      <c r="I115" s="337" t="s">
        <v>58</v>
      </c>
      <c r="J115" s="337"/>
      <c r="K115" s="50">
        <f>IF(C112=1,K114*-N111,IF(C112=2,-K114*N112,IF(C112=3,-K114*N113,IF(C112=4,0,IF(C112=5,K114*O114,IF(C112=6,O115*K114))))))</f>
        <v>-1992.8360000000002</v>
      </c>
      <c r="M115" s="17">
        <v>6</v>
      </c>
      <c r="N115" s="7"/>
      <c r="O115" s="8">
        <v>0.6</v>
      </c>
    </row>
    <row r="116" spans="1:15" ht="15.75" hidden="1" thickBot="1" x14ac:dyDescent="0.3">
      <c r="A116" s="310" t="s">
        <v>4</v>
      </c>
      <c r="B116" s="355" t="s">
        <v>5</v>
      </c>
      <c r="C116" s="199" t="s">
        <v>6</v>
      </c>
      <c r="D116" s="200"/>
      <c r="E116" s="355" t="s">
        <v>5</v>
      </c>
      <c r="F116" s="317" t="s">
        <v>6</v>
      </c>
      <c r="G116" s="317"/>
      <c r="H116" s="317"/>
      <c r="I116" s="337" t="s">
        <v>17</v>
      </c>
      <c r="J116" s="337"/>
      <c r="K116" s="50">
        <f>IF(MOD(SUM(K112:K115),1)&lt;=0.5,-ABS(ROUND(SUM(K112:K115),0)-SUM(K112:K115)),ABS(ROUND(SUM(K112:K115),0)-SUM(K112:K115)))</f>
        <v>-0.18999999999869033</v>
      </c>
      <c r="M116" s="26" t="s">
        <v>13</v>
      </c>
      <c r="N116" s="27"/>
      <c r="O116" s="28">
        <v>0.5</v>
      </c>
    </row>
    <row r="117" spans="1:15" ht="15.75" hidden="1" thickBot="1" x14ac:dyDescent="0.3">
      <c r="A117" s="311"/>
      <c r="B117" s="356"/>
      <c r="C117" s="1" t="s">
        <v>136</v>
      </c>
      <c r="D117" s="1" t="s">
        <v>8</v>
      </c>
      <c r="E117" s="356"/>
      <c r="F117" s="1" t="s">
        <v>7</v>
      </c>
      <c r="G117" s="199" t="s">
        <v>8</v>
      </c>
      <c r="H117" s="200"/>
      <c r="I117" s="279" t="s">
        <v>20</v>
      </c>
      <c r="J117" s="316"/>
      <c r="K117" s="13">
        <f>SUM(K112:K116)</f>
        <v>10341</v>
      </c>
      <c r="M117" s="29" t="s">
        <v>14</v>
      </c>
      <c r="N117" s="30"/>
      <c r="O117" s="31">
        <v>0.3</v>
      </c>
    </row>
    <row r="118" spans="1:15" ht="24.75" hidden="1" customHeight="1" thickBot="1" x14ac:dyDescent="0.3">
      <c r="A118" s="14" t="s">
        <v>25</v>
      </c>
      <c r="B118" s="39">
        <f>B15</f>
        <v>2491.0500000000002</v>
      </c>
      <c r="C118" s="39">
        <f t="shared" ref="C118:F118" si="0">C15</f>
        <v>483.68</v>
      </c>
      <c r="D118" s="39">
        <f t="shared" si="0"/>
        <v>1612.27</v>
      </c>
      <c r="E118" s="39">
        <f t="shared" si="0"/>
        <v>1337.28</v>
      </c>
      <c r="F118" s="39">
        <f t="shared" si="0"/>
        <v>510.71</v>
      </c>
      <c r="G118" s="199">
        <f>G15</f>
        <v>1702.36</v>
      </c>
      <c r="H118" s="200"/>
      <c r="I118" s="289" t="s">
        <v>19</v>
      </c>
      <c r="J118" s="290"/>
      <c r="K118" s="291"/>
    </row>
    <row r="119" spans="1:15" ht="15.75" hidden="1" thickBot="1" x14ac:dyDescent="0.3">
      <c r="A119" s="14" t="s">
        <v>21</v>
      </c>
      <c r="B119" s="39">
        <f>B16</f>
        <v>4982.09</v>
      </c>
      <c r="C119" s="39">
        <f t="shared" ref="C119:G119" si="1">C16</f>
        <v>967.36</v>
      </c>
      <c r="D119" s="39">
        <f t="shared" si="1"/>
        <v>1612.27</v>
      </c>
      <c r="E119" s="39">
        <f t="shared" si="1"/>
        <v>2674.55</v>
      </c>
      <c r="F119" s="39">
        <f t="shared" si="1"/>
        <v>1021.42</v>
      </c>
      <c r="G119" s="199">
        <f t="shared" si="1"/>
        <v>1703.36</v>
      </c>
      <c r="H119" s="200"/>
      <c r="I119" s="317" t="s">
        <v>15</v>
      </c>
      <c r="J119" s="317"/>
      <c r="K119" s="11">
        <f>IF(C112=1,F118*F113,IF(C112=2,F119*F113,IF(C112=3,F120*F113,IF(C112=4,F121*F113,IF(C112=5,F122*F113,IF(C112=6,F123*F113))))))</f>
        <v>7762.7919999999995</v>
      </c>
    </row>
    <row r="120" spans="1:15" ht="15.75" hidden="1" customHeight="1" thickBot="1" x14ac:dyDescent="0.3">
      <c r="A120" s="14" t="s">
        <v>24</v>
      </c>
      <c r="B120" s="39">
        <f t="shared" ref="B120:G122" si="2">B17</f>
        <v>7888.32</v>
      </c>
      <c r="C120" s="39">
        <f t="shared" si="2"/>
        <v>1531.66</v>
      </c>
      <c r="D120" s="39">
        <f t="shared" si="2"/>
        <v>1612.27</v>
      </c>
      <c r="E120" s="39">
        <f t="shared" si="2"/>
        <v>3922.68</v>
      </c>
      <c r="F120" s="39">
        <f t="shared" si="2"/>
        <v>1498.08</v>
      </c>
      <c r="G120" s="199">
        <f t="shared" si="2"/>
        <v>1704.36</v>
      </c>
      <c r="H120" s="200"/>
      <c r="I120" s="317" t="s">
        <v>16</v>
      </c>
      <c r="J120" s="317"/>
      <c r="K120" s="12">
        <f>IF(C112=1,H113*G118,IF(C112=2,G119*H113,IF(C112=3,G120*H113,IF(C112=4,G121*H113,IF(C112=5,G122*H113,IF(C112=6,G123*H113))))))</f>
        <v>0</v>
      </c>
    </row>
    <row r="121" spans="1:15" ht="15.75" hidden="1" customHeight="1" thickBot="1" x14ac:dyDescent="0.3">
      <c r="A121" s="14" t="s">
        <v>22</v>
      </c>
      <c r="B121" s="39">
        <f t="shared" si="2"/>
        <v>8303.49</v>
      </c>
      <c r="C121" s="39">
        <f t="shared" si="2"/>
        <v>1612.27</v>
      </c>
      <c r="D121" s="39">
        <f t="shared" si="2"/>
        <v>1612.27</v>
      </c>
      <c r="E121" s="39">
        <f t="shared" si="2"/>
        <v>4457.59</v>
      </c>
      <c r="F121" s="39">
        <f t="shared" si="2"/>
        <v>1702.36</v>
      </c>
      <c r="G121" s="199">
        <f t="shared" si="2"/>
        <v>1705.36</v>
      </c>
      <c r="H121" s="200"/>
      <c r="I121" s="317" t="s">
        <v>3</v>
      </c>
      <c r="J121" s="317"/>
      <c r="K121" s="12">
        <f>IF(C112=1,E118,IF(C112=2,E119,IF(C112=3,E120,IF(C112=4,E121,IF(C112=5,E122,IF(C112=6,E123))))))</f>
        <v>2674.55</v>
      </c>
    </row>
    <row r="122" spans="1:15" ht="15.75" hidden="1" thickBot="1" x14ac:dyDescent="0.3">
      <c r="A122" s="21" t="s">
        <v>23</v>
      </c>
      <c r="B122" s="39">
        <f t="shared" si="2"/>
        <v>12455.24</v>
      </c>
      <c r="C122" s="39">
        <f t="shared" si="2"/>
        <v>2418.41</v>
      </c>
      <c r="D122" s="39">
        <f t="shared" si="2"/>
        <v>2418.41</v>
      </c>
      <c r="E122" s="39">
        <f t="shared" si="2"/>
        <v>6686.39</v>
      </c>
      <c r="F122" s="39">
        <f t="shared" si="2"/>
        <v>2553.54</v>
      </c>
      <c r="G122" s="199">
        <f t="shared" si="2"/>
        <v>2553.54</v>
      </c>
      <c r="H122" s="200"/>
      <c r="I122" s="341" t="s">
        <v>90</v>
      </c>
      <c r="J122" s="341"/>
      <c r="K122" s="23">
        <f>IF(C112=1,K121*-N111,IF(C112=2,-K121*N112,IF(C112=3,-K121*N113,IF(C112=4,0,IF(C112=5,K121*O114,IF(C112=6,O115*K121))))))</f>
        <v>-1069.8200000000002</v>
      </c>
    </row>
    <row r="123" spans="1:15" ht="15.75" hidden="1" thickBot="1" x14ac:dyDescent="0.3">
      <c r="A123" s="351" t="s">
        <v>26</v>
      </c>
      <c r="B123" s="215">
        <f>B20</f>
        <v>13285.58</v>
      </c>
      <c r="C123" s="215">
        <f t="shared" ref="C123:D123" si="3">C20</f>
        <v>2579.63</v>
      </c>
      <c r="D123" s="215">
        <f t="shared" si="3"/>
        <v>2579.63</v>
      </c>
      <c r="E123" s="215">
        <f t="shared" ref="E123:F123" si="4">E20</f>
        <v>7132.14</v>
      </c>
      <c r="F123" s="215">
        <f t="shared" si="4"/>
        <v>2723.78</v>
      </c>
      <c r="G123" s="207">
        <f>G20</f>
        <v>2723.78</v>
      </c>
      <c r="H123" s="208"/>
      <c r="I123" s="317" t="s">
        <v>17</v>
      </c>
      <c r="J123" s="317"/>
      <c r="K123" s="12">
        <f>IF(MOD(SUM(K119:K122),1)&lt;=0.5,-ABS(ROUND(SUM(K119:K122),0)-SUM(K119:K122)),ABS(ROUND(SUM(K119:K122),0)-SUM(K119:K122)))</f>
        <v>0.47799999999915599</v>
      </c>
      <c r="M123" s="54"/>
      <c r="N123" s="54"/>
    </row>
    <row r="124" spans="1:15" ht="15.75" hidden="1" thickBot="1" x14ac:dyDescent="0.3">
      <c r="A124" s="352"/>
      <c r="B124" s="216"/>
      <c r="C124" s="216"/>
      <c r="D124" s="216"/>
      <c r="E124" s="216"/>
      <c r="F124" s="216"/>
      <c r="G124" s="353"/>
      <c r="H124" s="214"/>
      <c r="I124" s="279" t="s">
        <v>20</v>
      </c>
      <c r="J124" s="316"/>
      <c r="K124" s="13">
        <f>SUM(K119:K123)</f>
        <v>9368</v>
      </c>
    </row>
    <row r="125" spans="1:15" ht="15" hidden="1" customHeight="1" x14ac:dyDescent="0.25">
      <c r="A125" s="342" t="s">
        <v>100</v>
      </c>
      <c r="B125" s="343"/>
      <c r="C125" s="343"/>
      <c r="D125" s="343"/>
      <c r="E125" s="343"/>
      <c r="F125" s="343"/>
      <c r="G125" s="343"/>
      <c r="H125" s="343"/>
      <c r="I125" s="343"/>
      <c r="J125" s="343"/>
      <c r="K125" s="344"/>
    </row>
    <row r="126" spans="1:15" ht="15" hidden="1" customHeight="1" x14ac:dyDescent="0.25">
      <c r="A126" s="345"/>
      <c r="B126" s="346"/>
      <c r="C126" s="346"/>
      <c r="D126" s="346"/>
      <c r="E126" s="346"/>
      <c r="F126" s="346"/>
      <c r="G126" s="346"/>
      <c r="H126" s="346"/>
      <c r="I126" s="346"/>
      <c r="J126" s="346"/>
      <c r="K126" s="347"/>
    </row>
    <row r="127" spans="1:15" ht="15.75" hidden="1" customHeight="1" thickBot="1" x14ac:dyDescent="0.3">
      <c r="A127" s="348"/>
      <c r="B127" s="349"/>
      <c r="C127" s="349"/>
      <c r="D127" s="349"/>
      <c r="E127" s="349"/>
      <c r="F127" s="349"/>
      <c r="G127" s="349"/>
      <c r="H127" s="349"/>
      <c r="I127" s="349"/>
      <c r="J127" s="349"/>
      <c r="K127" s="350"/>
    </row>
    <row r="128" spans="1:15" ht="15.75" hidden="1" thickBot="1" x14ac:dyDescent="0.3">
      <c r="A128" s="283" t="s">
        <v>0</v>
      </c>
      <c r="B128" s="284"/>
      <c r="C128" s="284"/>
      <c r="D128" s="284"/>
      <c r="E128" s="284"/>
      <c r="F128" s="284"/>
      <c r="G128" s="284"/>
      <c r="H128" s="284"/>
      <c r="I128" s="284"/>
      <c r="J128" s="284"/>
      <c r="K128" s="285"/>
    </row>
    <row r="129" spans="1:11" ht="15.75" hidden="1" thickBot="1" x14ac:dyDescent="0.3">
      <c r="A129" s="301" t="s">
        <v>1</v>
      </c>
      <c r="B129" s="302"/>
      <c r="C129" s="303">
        <f>D85</f>
        <v>2</v>
      </c>
      <c r="D129" s="304"/>
      <c r="E129" s="305" t="s">
        <v>99</v>
      </c>
      <c r="F129" s="307"/>
      <c r="G129" s="60" t="s">
        <v>93</v>
      </c>
      <c r="H129" s="313" t="s">
        <v>27</v>
      </c>
      <c r="I129" s="314"/>
      <c r="J129" s="315"/>
      <c r="K129" s="61">
        <f>J88</f>
        <v>76</v>
      </c>
    </row>
    <row r="130" spans="1:11" ht="15.75" hidden="1" thickBot="1" x14ac:dyDescent="0.3">
      <c r="A130" s="289" t="s">
        <v>2</v>
      </c>
      <c r="B130" s="290"/>
      <c r="C130" s="290"/>
      <c r="D130" s="290"/>
      <c r="E130" s="290"/>
      <c r="F130" s="290"/>
      <c r="G130" s="290"/>
      <c r="H130" s="291"/>
      <c r="I130" s="289" t="s">
        <v>85</v>
      </c>
      <c r="J130" s="290"/>
      <c r="K130" s="291"/>
    </row>
    <row r="131" spans="1:11" ht="15.75" hidden="1" thickBot="1" x14ac:dyDescent="0.3">
      <c r="A131" s="292" t="s">
        <v>4</v>
      </c>
      <c r="B131" s="293"/>
      <c r="C131" s="308" t="s">
        <v>91</v>
      </c>
      <c r="D131" s="354"/>
      <c r="E131" s="309"/>
      <c r="F131" s="308" t="s">
        <v>95</v>
      </c>
      <c r="G131" s="354"/>
      <c r="H131" s="309"/>
      <c r="I131" s="206"/>
      <c r="J131" s="207"/>
      <c r="K131" s="208"/>
    </row>
    <row r="132" spans="1:11" ht="21.75" hidden="1" thickBot="1" x14ac:dyDescent="0.3">
      <c r="A132" s="294"/>
      <c r="B132" s="295"/>
      <c r="C132" s="44" t="s">
        <v>93</v>
      </c>
      <c r="D132" s="59" t="s">
        <v>92</v>
      </c>
      <c r="E132" s="44" t="s">
        <v>94</v>
      </c>
      <c r="F132" s="44" t="s">
        <v>93</v>
      </c>
      <c r="G132" s="59" t="s">
        <v>92</v>
      </c>
      <c r="H132" s="44" t="s">
        <v>94</v>
      </c>
      <c r="I132" s="213"/>
      <c r="J132" s="353"/>
      <c r="K132" s="214"/>
    </row>
    <row r="133" spans="1:11" ht="15.75" hidden="1" thickBot="1" x14ac:dyDescent="0.3">
      <c r="A133" s="197" t="s">
        <v>25</v>
      </c>
      <c r="B133" s="198"/>
      <c r="C133" s="22">
        <f>C31</f>
        <v>199.38</v>
      </c>
      <c r="D133" s="22">
        <f t="shared" ref="D133:H133" si="5">D31</f>
        <v>191.91</v>
      </c>
      <c r="E133" s="22">
        <f t="shared" si="5"/>
        <v>184.31</v>
      </c>
      <c r="F133" s="22">
        <f t="shared" si="5"/>
        <v>471.89</v>
      </c>
      <c r="G133" s="22">
        <f t="shared" si="5"/>
        <v>454.42</v>
      </c>
      <c r="H133" s="22">
        <f t="shared" si="5"/>
        <v>437.01</v>
      </c>
      <c r="I133" s="338" t="s">
        <v>86</v>
      </c>
      <c r="J133" s="339"/>
      <c r="K133" s="340"/>
    </row>
    <row r="134" spans="1:11" ht="15.75" hidden="1" thickBot="1" x14ac:dyDescent="0.3">
      <c r="A134" s="197" t="s">
        <v>21</v>
      </c>
      <c r="B134" s="198"/>
      <c r="C134" s="22">
        <f t="shared" ref="C134:H137" si="6">C32</f>
        <v>249.23</v>
      </c>
      <c r="D134" s="22">
        <f t="shared" si="6"/>
        <v>239.89</v>
      </c>
      <c r="E134" s="22">
        <f t="shared" si="6"/>
        <v>230.39</v>
      </c>
      <c r="F134" s="22">
        <f t="shared" si="6"/>
        <v>471.89</v>
      </c>
      <c r="G134" s="22">
        <f t="shared" si="6"/>
        <v>454.42</v>
      </c>
      <c r="H134" s="22">
        <f t="shared" si="6"/>
        <v>437.01</v>
      </c>
      <c r="I134" s="308" t="s">
        <v>87</v>
      </c>
      <c r="J134" s="309"/>
      <c r="K134" s="11">
        <f>IF(AND(C129=1,K129&lt;130,G129="PROPIEDAD EPM"),C133*K129,IF(AND(C129=1,K129&lt;130,G129="COMPARTIDO"),D133*K129,IF(AND(C129=1,K129&lt;130,G129="PROPIEDAD CLIENTE"),E133*K129,IF(AND(C129=2,K129&lt;130,G129="PROPIEDAD EPM"),C134*K129,IF(AND(C129=2,K129&lt;130,G129="COMPARTIDO"),D134*K129,IF(AND(C129=2,K129&lt;130,G129="PROPIEDAD CLIENTE"),E134*K129,IF(AND(C129=3,K129&lt;130,G129="PROPIEDAD EPM"),C135*K129,IF(AND(C129=3,K129&lt;130,G129="COMPARTIDO"),D135*K129,IF(AND(C129=3,K129&lt;130,G129="PROPIEDAD CLIENTE"),E135*K129,IF(AND(C129=4,K129&lt;130,G129="PROPIEDAD EPM"),C136*K129,IF(AND(C129=4,K129&lt;130,G129="COMPARTIDO"),D136*K129,IF(AND(C129=4,K129&lt;130,G129="PROPIEDAD CLIENTE"),E136*K129,IF(AND(C129=5,K129&lt;130,G129="PROPIEDAD EPM"),C137*K129,IF(AND(C129=5,K129&lt;130,G129="COMPARTIDO"),D137*K129,IF(AND(C129=5,K129&lt;130,G129="PROPIEDAD CLIENTE"),E137*K129,IF(AND(C129=6,K129&lt;130,G129="PROPIEDAD EPM"),C138*K129,IF(AND(C129=6,K129&lt;130,G129="COMPARTIDO"),D138*K129,IF(AND(C129=6,K129&lt;130,G129="PROPIEDAD CLIENTE"),E138*K129,IF(K129&gt;=130,0)))))))))))))))))))</f>
        <v>18941.48</v>
      </c>
    </row>
    <row r="135" spans="1:11" ht="15.75" hidden="1" thickBot="1" x14ac:dyDescent="0.3">
      <c r="A135" s="197" t="s">
        <v>24</v>
      </c>
      <c r="B135" s="198"/>
      <c r="C135" s="22">
        <f t="shared" si="6"/>
        <v>401.06</v>
      </c>
      <c r="D135" s="22">
        <f t="shared" si="6"/>
        <v>386.26</v>
      </c>
      <c r="E135" s="22">
        <f t="shared" si="6"/>
        <v>371.46</v>
      </c>
      <c r="F135" s="22">
        <f t="shared" si="6"/>
        <v>471.89</v>
      </c>
      <c r="G135" s="22">
        <f t="shared" si="6"/>
        <v>454.42</v>
      </c>
      <c r="H135" s="22">
        <f t="shared" si="6"/>
        <v>437.01</v>
      </c>
      <c r="I135" s="199" t="s">
        <v>88</v>
      </c>
      <c r="J135" s="200"/>
      <c r="K135" s="11">
        <f>IF(AND(C129=1,K129&gt;=130,G129="PROPIEDAD EPM"),F133*K129,IF(AND(C129=1,K129&gt;=130,G129="COMPARTIDO"),G133*K129,IF(AND(C129=1,K129&gt;=130,G129="PROPIEDAD CLIENTE"),H133*K129,IF(AND(C129=2,K129&gt;=130,G129="PROPIEDAD EPM"),F134*K129,IF(AND(C129=2,K129&gt;=130,G129="COMPARTIDO"),G134*K129,IF(AND(C129=2,K129&gt;=130,G129="PROPIEDAD CLIENTE"),H134*K129,IF(AND(C129=3,K129&gt;=130,G129="PROPIEDAD EPM"),F135*K129,IF(AND(C129=3,K129&gt;=130,G129="COMPARTIDO"),G135*K129,IF(AND(C129=3,K129&gt;=130,G129="PROPIEDAD CLIENTE"),H135*K129,IF(AND(C129=4,K129&gt;=130,G129="PROPIEDAD EPM"),F136*K129,IF(AND(C129=4,K129&gt;=130,G129="COMPARTIDO"),G136*K129,IF(AND(C129=4,K129&gt;=130,G129="PROPIEDAD CLIENTE"),H136*K129,IF(AND(C129=5,K129&gt;=130,G129="PROPIEDAD EPM"),F137*K129,IF(AND(C129=5,K129&gt;=130,G129="COMPARTIDO"),G137*K129,IF(AND(C129=5,K129&gt;=130,G129="PROPIEDAD CLIENTE"),H137*K129,IF(AND(C129=6,K129&gt;=130,G129="PROPIEDAD EPM"),F138*K129,IF(AND(C129=6,K129&gt;=130,G129="COMPARTIDO"),G138*K129,IF(AND(C129=6,K129&gt;=130,G129="PROPIEDAD CLIENTE"),H138*K129,IF(K129&lt;130,0)))))))))))))))))))</f>
        <v>0</v>
      </c>
    </row>
    <row r="136" spans="1:11" ht="15.75" hidden="1" thickBot="1" x14ac:dyDescent="0.3">
      <c r="A136" s="197" t="s">
        <v>22</v>
      </c>
      <c r="B136" s="198"/>
      <c r="C136" s="22">
        <f t="shared" si="6"/>
        <v>471.84</v>
      </c>
      <c r="D136" s="22">
        <f t="shared" si="6"/>
        <v>454.42</v>
      </c>
      <c r="E136" s="22">
        <f t="shared" si="6"/>
        <v>437.01</v>
      </c>
      <c r="F136" s="22">
        <f t="shared" si="6"/>
        <v>471.89</v>
      </c>
      <c r="G136" s="22">
        <f t="shared" si="6"/>
        <v>454.42</v>
      </c>
      <c r="H136" s="22">
        <f t="shared" si="6"/>
        <v>437.01</v>
      </c>
      <c r="I136" s="201" t="s">
        <v>89</v>
      </c>
      <c r="J136" s="203"/>
      <c r="K136" s="12">
        <f>IF(C129=1,SUM(K134:K135)*-N111,IF(C129=2,-SUM(K134:K135)*N112,IF(C129=3,-SUM(K134:K135)*N113,IF(C129=4,0,IF(C129=5,SUM(K134:K135)*0.2,IF(C129=6,0.2*SUM(K134:K135)))))))</f>
        <v>-7576.5920000000006</v>
      </c>
    </row>
    <row r="137" spans="1:11" ht="15.75" hidden="1" thickBot="1" x14ac:dyDescent="0.3">
      <c r="A137" s="197" t="s">
        <v>23</v>
      </c>
      <c r="B137" s="198"/>
      <c r="C137" s="22">
        <f t="shared" si="6"/>
        <v>566.20000000000005</v>
      </c>
      <c r="D137" s="22">
        <f t="shared" si="6"/>
        <v>545.30999999999995</v>
      </c>
      <c r="E137" s="22">
        <f t="shared" si="6"/>
        <v>524.41</v>
      </c>
      <c r="F137" s="22">
        <f t="shared" si="6"/>
        <v>471.89</v>
      </c>
      <c r="G137" s="22">
        <f t="shared" si="6"/>
        <v>454.42</v>
      </c>
      <c r="H137" s="22">
        <f t="shared" si="6"/>
        <v>437.01</v>
      </c>
      <c r="I137" s="201" t="s">
        <v>17</v>
      </c>
      <c r="J137" s="203"/>
      <c r="K137" s="12">
        <f>IF(MOD(SUM(K134:K136),1)&lt;=0.5,-ABS(ROUND(SUM(K134:K136),0)-SUM(K134:K136)),ABS(ROUND(SUM(K134:K136),0)-SUM(K134:K136)))</f>
        <v>0.11200000000098953</v>
      </c>
    </row>
    <row r="138" spans="1:11" ht="26.25" hidden="1" customHeight="1" thickBot="1" x14ac:dyDescent="0.3">
      <c r="A138" s="209" t="s">
        <v>26</v>
      </c>
      <c r="B138" s="210"/>
      <c r="C138" s="310">
        <f>C36</f>
        <v>566.20000000000005</v>
      </c>
      <c r="D138" s="310">
        <f t="shared" ref="D138:H138" si="7">D36</f>
        <v>545.30999999999995</v>
      </c>
      <c r="E138" s="310">
        <f t="shared" si="7"/>
        <v>524.41</v>
      </c>
      <c r="F138" s="310">
        <f t="shared" si="7"/>
        <v>471.89</v>
      </c>
      <c r="G138" s="310">
        <f t="shared" si="7"/>
        <v>454.42</v>
      </c>
      <c r="H138" s="310">
        <f t="shared" si="7"/>
        <v>437.01</v>
      </c>
      <c r="I138" s="217" t="s">
        <v>150</v>
      </c>
      <c r="J138" s="219"/>
      <c r="K138" s="20">
        <v>0</v>
      </c>
    </row>
    <row r="139" spans="1:11" ht="15.75" hidden="1" thickBot="1" x14ac:dyDescent="0.3">
      <c r="A139" s="211"/>
      <c r="B139" s="212"/>
      <c r="C139" s="311"/>
      <c r="D139" s="311"/>
      <c r="E139" s="311"/>
      <c r="F139" s="311"/>
      <c r="G139" s="311"/>
      <c r="H139" s="311"/>
      <c r="I139" s="279" t="s">
        <v>20</v>
      </c>
      <c r="J139" s="312"/>
      <c r="K139" s="13">
        <f>SUM(K133:K138)</f>
        <v>11365</v>
      </c>
    </row>
    <row r="140" spans="1:11" ht="15" hidden="1" customHeight="1" x14ac:dyDescent="0.25">
      <c r="A140" s="178" t="s">
        <v>102</v>
      </c>
      <c r="B140" s="179"/>
      <c r="C140" s="179"/>
      <c r="D140" s="179"/>
      <c r="E140" s="179"/>
      <c r="F140" s="179"/>
      <c r="G140" s="179"/>
      <c r="H140" s="179"/>
      <c r="I140" s="179"/>
      <c r="J140" s="179"/>
      <c r="K140" s="180"/>
    </row>
    <row r="141" spans="1:11" ht="15" hidden="1" customHeight="1" x14ac:dyDescent="0.25">
      <c r="A141" s="181"/>
      <c r="B141" s="182"/>
      <c r="C141" s="182"/>
      <c r="D141" s="182"/>
      <c r="E141" s="182"/>
      <c r="F141" s="182"/>
      <c r="G141" s="182"/>
      <c r="H141" s="182"/>
      <c r="I141" s="182"/>
      <c r="J141" s="182"/>
      <c r="K141" s="183"/>
    </row>
    <row r="142" spans="1:11" ht="15.75" hidden="1" customHeight="1" thickBot="1" x14ac:dyDescent="0.3">
      <c r="A142" s="184"/>
      <c r="B142" s="185"/>
      <c r="C142" s="185"/>
      <c r="D142" s="185"/>
      <c r="E142" s="185"/>
      <c r="F142" s="185"/>
      <c r="G142" s="185"/>
      <c r="H142" s="185"/>
      <c r="I142" s="185"/>
      <c r="J142" s="185"/>
      <c r="K142" s="186"/>
    </row>
    <row r="143" spans="1:11" ht="15.75" hidden="1" thickBot="1" x14ac:dyDescent="0.3">
      <c r="A143" s="283" t="s">
        <v>0</v>
      </c>
      <c r="B143" s="284"/>
      <c r="C143" s="284"/>
      <c r="D143" s="284"/>
      <c r="E143" s="284"/>
      <c r="F143" s="284"/>
      <c r="G143" s="284"/>
      <c r="H143" s="284"/>
      <c r="I143" s="284"/>
      <c r="J143" s="284"/>
      <c r="K143" s="285"/>
    </row>
    <row r="144" spans="1:11" ht="15.75" hidden="1" thickBot="1" x14ac:dyDescent="0.3">
      <c r="A144" s="301" t="s">
        <v>1</v>
      </c>
      <c r="B144" s="302"/>
      <c r="C144" s="303">
        <f>D85</f>
        <v>2</v>
      </c>
      <c r="D144" s="304"/>
      <c r="E144" s="305" t="s">
        <v>36</v>
      </c>
      <c r="F144" s="306"/>
      <c r="G144" s="306"/>
      <c r="H144" s="306"/>
      <c r="I144" s="307"/>
      <c r="J144" s="303">
        <f>J89</f>
        <v>8</v>
      </c>
      <c r="K144" s="304"/>
    </row>
    <row r="145" spans="1:11" ht="15.75" hidden="1" thickBot="1" x14ac:dyDescent="0.3">
      <c r="A145" s="289" t="s">
        <v>2</v>
      </c>
      <c r="B145" s="290"/>
      <c r="C145" s="290"/>
      <c r="D145" s="290"/>
      <c r="E145" s="290"/>
      <c r="F145" s="291"/>
      <c r="G145" s="289" t="s">
        <v>42</v>
      </c>
      <c r="H145" s="290"/>
      <c r="I145" s="290"/>
      <c r="J145" s="290"/>
      <c r="K145" s="291"/>
    </row>
    <row r="146" spans="1:11" ht="15.75" hidden="1" thickBot="1" x14ac:dyDescent="0.3">
      <c r="A146" s="292" t="s">
        <v>4</v>
      </c>
      <c r="B146" s="293"/>
      <c r="C146" s="296" t="s">
        <v>37</v>
      </c>
      <c r="D146" s="297"/>
      <c r="E146" s="199" t="s">
        <v>6</v>
      </c>
      <c r="F146" s="200"/>
      <c r="G146" s="201" t="s">
        <v>40</v>
      </c>
      <c r="H146" s="202"/>
      <c r="I146" s="203"/>
      <c r="J146" s="201" t="s">
        <v>41</v>
      </c>
      <c r="K146" s="203"/>
    </row>
    <row r="147" spans="1:11" ht="15.75" hidden="1" thickBot="1" x14ac:dyDescent="0.3">
      <c r="A147" s="294"/>
      <c r="B147" s="295"/>
      <c r="C147" s="298"/>
      <c r="D147" s="299"/>
      <c r="E147" s="1" t="s">
        <v>38</v>
      </c>
      <c r="F147" s="1" t="s">
        <v>39</v>
      </c>
      <c r="G147" s="199">
        <f>IF(J144&gt;=20,20,J144)</f>
        <v>8</v>
      </c>
      <c r="H147" s="300"/>
      <c r="I147" s="200"/>
      <c r="J147" s="199">
        <f>IF(J144&gt;=20,J144-G147,0)</f>
        <v>0</v>
      </c>
      <c r="K147" s="200"/>
    </row>
    <row r="148" spans="1:11" ht="15.75" hidden="1" thickBot="1" x14ac:dyDescent="0.3">
      <c r="A148" s="197" t="s">
        <v>25</v>
      </c>
      <c r="B148" s="198"/>
      <c r="C148" s="199">
        <f>C47</f>
        <v>0</v>
      </c>
      <c r="D148" s="200"/>
      <c r="E148" s="46">
        <f>E47</f>
        <v>657.84</v>
      </c>
      <c r="F148" s="46">
        <f>F47</f>
        <v>1262.6300000000001</v>
      </c>
      <c r="G148" s="283" t="s">
        <v>30</v>
      </c>
      <c r="H148" s="284"/>
      <c r="I148" s="284"/>
      <c r="J148" s="284"/>
      <c r="K148" s="285"/>
    </row>
    <row r="149" spans="1:11" ht="15.75" hidden="1" thickBot="1" x14ac:dyDescent="0.3">
      <c r="A149" s="197" t="s">
        <v>21</v>
      </c>
      <c r="B149" s="198"/>
      <c r="C149" s="199">
        <f t="shared" ref="C149:C152" si="8">C48</f>
        <v>0</v>
      </c>
      <c r="D149" s="200"/>
      <c r="E149" s="46">
        <f t="shared" ref="E149:F152" si="9">E48</f>
        <v>818.93</v>
      </c>
      <c r="F149" s="46">
        <f t="shared" si="9"/>
        <v>1262.6300000000001</v>
      </c>
      <c r="G149" s="286" t="s">
        <v>43</v>
      </c>
      <c r="H149" s="287"/>
      <c r="I149" s="288"/>
      <c r="J149" s="204">
        <f>IF(J144&gt;=20,0,IF(C144=1,C148+E148*G147,IF(C144=2,C149+E149*G147,IF(C144=3,C150+E150*G147,IF(C144=4,C151+E151*G147,IF(C144=5,C152+E152*G147,IF(C144=6,C153+E153*G147)))))))</f>
        <v>6551.44</v>
      </c>
      <c r="K149" s="205"/>
    </row>
    <row r="150" spans="1:11" ht="15.75" hidden="1" thickBot="1" x14ac:dyDescent="0.3">
      <c r="A150" s="197" t="s">
        <v>24</v>
      </c>
      <c r="B150" s="198"/>
      <c r="C150" s="199">
        <f t="shared" si="8"/>
        <v>2937.67</v>
      </c>
      <c r="D150" s="200"/>
      <c r="E150" s="46">
        <f t="shared" si="9"/>
        <v>1262.6300000000001</v>
      </c>
      <c r="F150" s="46">
        <f t="shared" si="9"/>
        <v>1262.6300000000001</v>
      </c>
      <c r="G150" s="201" t="s">
        <v>44</v>
      </c>
      <c r="H150" s="202"/>
      <c r="I150" s="203"/>
      <c r="J150" s="204">
        <f>IF(J144&lt;20,0,IF(C144=1,C148+F148*J144,IF(C144=2,C149+F149*J144,IF(C144=3,C150+F150*J144,IF(C144=4,C151+F151*J144,IF(C144=5,C152+F152*J144,IF(C144=6,C153+F153*J144)))))))</f>
        <v>0</v>
      </c>
      <c r="K150" s="205"/>
    </row>
    <row r="151" spans="1:11" ht="15.75" hidden="1" thickBot="1" x14ac:dyDescent="0.3">
      <c r="A151" s="197" t="s">
        <v>22</v>
      </c>
      <c r="B151" s="198"/>
      <c r="C151" s="199">
        <f t="shared" si="8"/>
        <v>2938.67</v>
      </c>
      <c r="D151" s="200"/>
      <c r="E151" s="46">
        <f t="shared" si="9"/>
        <v>1262.6300000000001</v>
      </c>
      <c r="F151" s="46">
        <f t="shared" si="9"/>
        <v>1262.6300000000001</v>
      </c>
      <c r="G151" s="201" t="s">
        <v>11</v>
      </c>
      <c r="H151" s="202"/>
      <c r="I151" s="203"/>
      <c r="J151" s="204">
        <f>IF(C144=1,SUM(J149:K150)*-N111,IF(C144=2,-SUM(J149:K150)*N112,IF(C144=3,-SUM(J149:K150)*N113,IF(C144=4,0,IF(C144=5,SUM(J149:K150)*0.2,IF(C144=6,0.2*SUM(J149:K150)))))))</f>
        <v>-2620.576</v>
      </c>
      <c r="K151" s="205"/>
    </row>
    <row r="152" spans="1:11" ht="15.75" hidden="1" thickBot="1" x14ac:dyDescent="0.3">
      <c r="A152" s="197" t="s">
        <v>23</v>
      </c>
      <c r="B152" s="198"/>
      <c r="C152" s="199">
        <f t="shared" si="8"/>
        <v>3525.2</v>
      </c>
      <c r="D152" s="200"/>
      <c r="E152" s="46">
        <f t="shared" si="9"/>
        <v>1515.16</v>
      </c>
      <c r="F152" s="46">
        <f t="shared" si="9"/>
        <v>1515.16</v>
      </c>
      <c r="G152" s="206" t="s">
        <v>17</v>
      </c>
      <c r="H152" s="207"/>
      <c r="I152" s="208"/>
      <c r="J152" s="204">
        <f>IF(MOD(SUM(J149:J151),1)&lt;=0.5,-ABS(ROUND(SUM(J149:J151),0)-SUM(J149:J151)),ABS(ROUND(SUM(J149:J151),0)-SUM(J149:J151)))</f>
        <v>0.13600000000042201</v>
      </c>
      <c r="K152" s="205"/>
    </row>
    <row r="153" spans="1:11" ht="15.75" hidden="1" thickBot="1" x14ac:dyDescent="0.3">
      <c r="A153" s="209" t="s">
        <v>26</v>
      </c>
      <c r="B153" s="210"/>
      <c r="C153" s="206">
        <f>C52</f>
        <v>3525.2</v>
      </c>
      <c r="D153" s="208"/>
      <c r="E153" s="215">
        <f>E52</f>
        <v>1515.16</v>
      </c>
      <c r="F153" s="215">
        <f>F52</f>
        <v>1515.16</v>
      </c>
      <c r="G153" s="217" t="s">
        <v>151</v>
      </c>
      <c r="H153" s="218"/>
      <c r="I153" s="219"/>
      <c r="J153" s="220">
        <v>0</v>
      </c>
      <c r="K153" s="221"/>
    </row>
    <row r="154" spans="1:11" ht="15.75" hidden="1" thickBot="1" x14ac:dyDescent="0.3">
      <c r="A154" s="211"/>
      <c r="B154" s="212"/>
      <c r="C154" s="213"/>
      <c r="D154" s="214"/>
      <c r="E154" s="216"/>
      <c r="F154" s="216"/>
      <c r="G154" s="279" t="s">
        <v>20</v>
      </c>
      <c r="H154" s="280"/>
      <c r="I154" s="280"/>
      <c r="J154" s="281">
        <f>SUM(J148:J153)</f>
        <v>3931</v>
      </c>
      <c r="K154" s="282"/>
    </row>
    <row r="155" spans="1:11" hidden="1" x14ac:dyDescent="0.25">
      <c r="A155" s="178" t="s">
        <v>170</v>
      </c>
      <c r="B155" s="179"/>
      <c r="C155" s="179"/>
      <c r="D155" s="179"/>
      <c r="E155" s="179"/>
      <c r="F155" s="179"/>
      <c r="G155" s="179"/>
      <c r="H155" s="179"/>
      <c r="I155" s="179"/>
      <c r="J155" s="179"/>
      <c r="K155" s="180"/>
    </row>
    <row r="156" spans="1:11" hidden="1" x14ac:dyDescent="0.25">
      <c r="A156" s="181"/>
      <c r="B156" s="182"/>
      <c r="C156" s="182"/>
      <c r="D156" s="182"/>
      <c r="E156" s="182"/>
      <c r="F156" s="182"/>
      <c r="G156" s="182"/>
      <c r="H156" s="182"/>
      <c r="I156" s="182"/>
      <c r="J156" s="182"/>
      <c r="K156" s="183"/>
    </row>
    <row r="157" spans="1:11" ht="15.75" hidden="1" thickBot="1" x14ac:dyDescent="0.3">
      <c r="A157" s="184"/>
      <c r="B157" s="185"/>
      <c r="C157" s="185"/>
      <c r="D157" s="185"/>
      <c r="E157" s="185"/>
      <c r="F157" s="185"/>
      <c r="G157" s="185"/>
      <c r="H157" s="185"/>
      <c r="I157" s="185"/>
      <c r="J157" s="185"/>
      <c r="K157" s="186"/>
    </row>
    <row r="158" spans="1:11" hidden="1" x14ac:dyDescent="0.25">
      <c r="A158" s="187" t="s">
        <v>0</v>
      </c>
      <c r="B158" s="188"/>
      <c r="C158" s="188"/>
      <c r="D158" s="188"/>
      <c r="E158" s="188"/>
      <c r="F158" s="188"/>
      <c r="G158" s="188"/>
      <c r="H158" s="188"/>
      <c r="I158" s="188"/>
      <c r="J158" s="188"/>
      <c r="K158" s="189"/>
    </row>
    <row r="159" spans="1:11" hidden="1" x14ac:dyDescent="0.25">
      <c r="A159" s="190" t="s">
        <v>1</v>
      </c>
      <c r="B159" s="191"/>
      <c r="C159" s="192">
        <f>D85</f>
        <v>2</v>
      </c>
      <c r="D159" s="192"/>
      <c r="E159" s="193" t="s">
        <v>130</v>
      </c>
      <c r="F159" s="193"/>
      <c r="G159" s="193"/>
      <c r="H159" s="193"/>
      <c r="I159" s="193"/>
      <c r="J159" s="192">
        <v>2.5999999999999999E-2</v>
      </c>
      <c r="K159" s="194"/>
    </row>
    <row r="160" spans="1:11" hidden="1" x14ac:dyDescent="0.25">
      <c r="A160" s="173" t="s">
        <v>2</v>
      </c>
      <c r="B160" s="174"/>
      <c r="C160" s="174"/>
      <c r="D160" s="174"/>
      <c r="E160" s="174"/>
      <c r="F160" s="174"/>
      <c r="G160" s="174"/>
      <c r="H160" s="174"/>
      <c r="I160" s="174"/>
      <c r="J160" s="174"/>
      <c r="K160" s="175"/>
    </row>
    <row r="161" spans="1:11" ht="21" hidden="1" x14ac:dyDescent="0.25">
      <c r="A161" s="152" t="s">
        <v>194</v>
      </c>
      <c r="B161" s="153"/>
      <c r="C161" s="76" t="s">
        <v>171</v>
      </c>
      <c r="D161" s="154" t="s">
        <v>196</v>
      </c>
      <c r="E161" s="155"/>
      <c r="F161" s="156" t="s">
        <v>166</v>
      </c>
      <c r="G161" s="156"/>
      <c r="H161" s="157" t="s">
        <v>86</v>
      </c>
      <c r="I161" s="157"/>
      <c r="J161" s="157"/>
      <c r="K161" s="158"/>
    </row>
    <row r="162" spans="1:11" hidden="1" x14ac:dyDescent="0.25">
      <c r="A162" s="159" t="s">
        <v>25</v>
      </c>
      <c r="B162" s="160"/>
      <c r="C162" s="76">
        <v>-0.7</v>
      </c>
      <c r="D162" s="154">
        <v>3157</v>
      </c>
      <c r="E162" s="155"/>
      <c r="F162" s="156">
        <v>127384</v>
      </c>
      <c r="G162" s="156"/>
      <c r="H162" s="154" t="s">
        <v>52</v>
      </c>
      <c r="I162" s="176"/>
      <c r="J162" s="176"/>
      <c r="K162" s="177"/>
    </row>
    <row r="163" spans="1:11" hidden="1" x14ac:dyDescent="0.25">
      <c r="A163" s="159" t="s">
        <v>21</v>
      </c>
      <c r="B163" s="160"/>
      <c r="C163" s="76">
        <v>-0.4</v>
      </c>
      <c r="D163" s="154">
        <v>1513</v>
      </c>
      <c r="E163" s="155"/>
      <c r="F163" s="156">
        <v>26669</v>
      </c>
      <c r="G163" s="156"/>
      <c r="H163" s="156" t="s">
        <v>197</v>
      </c>
      <c r="I163" s="156"/>
      <c r="J163" s="156"/>
      <c r="K163" s="135">
        <f>IF(C159=1,D165+F165*J159+(D165+F165*J159)*C162,IF(C159=2,D165+F165*J159+(D165+F165*J159)*C163,IF(C159=3,D165+F165*J159+(D165+F165*J159)*C164,IF(C159=4,D165+F165*J159+(D165+F165*J159)*C165,IF(C159=5,D165+F165*J159+(D165+F165*J159)*C166,IF(C159=6,D165+F165*J159+(D165+F165*J159)*C167))))))</f>
        <v>5252.8223999999991</v>
      </c>
    </row>
    <row r="164" spans="1:11" hidden="1" x14ac:dyDescent="0.25">
      <c r="A164" s="159" t="s">
        <v>24</v>
      </c>
      <c r="B164" s="160"/>
      <c r="C164" s="76">
        <v>-0.15</v>
      </c>
      <c r="D164" s="154">
        <v>0</v>
      </c>
      <c r="E164" s="155"/>
      <c r="F164" s="156">
        <v>3051</v>
      </c>
      <c r="G164" s="156"/>
      <c r="H164" s="156" t="s">
        <v>17</v>
      </c>
      <c r="I164" s="156"/>
      <c r="J164" s="156"/>
      <c r="K164" s="136">
        <f>IF(MOD(K163,1)&lt;=0.5,-ABS(ROUND(K163,0)-K163),ABS(ROUND(K163,0)-K163))</f>
        <v>0.17760000000089349</v>
      </c>
    </row>
    <row r="165" spans="1:11" hidden="1" x14ac:dyDescent="0.25">
      <c r="A165" s="159" t="s">
        <v>22</v>
      </c>
      <c r="B165" s="160"/>
      <c r="C165" s="76">
        <v>0</v>
      </c>
      <c r="D165" s="161">
        <v>4670</v>
      </c>
      <c r="E165" s="162"/>
      <c r="F165" s="161">
        <v>157104</v>
      </c>
      <c r="G165" s="162"/>
      <c r="H165" s="167" t="s">
        <v>20</v>
      </c>
      <c r="I165" s="168"/>
      <c r="J165" s="168"/>
      <c r="K165" s="147">
        <f>IF(ISNUMBER(SUM(K163:K164)),SUM(K163:K164),"FALTAN VALORES")</f>
        <v>5253</v>
      </c>
    </row>
    <row r="166" spans="1:11" hidden="1" x14ac:dyDescent="0.25">
      <c r="A166" s="159" t="s">
        <v>23</v>
      </c>
      <c r="B166" s="160"/>
      <c r="C166" s="76">
        <v>0.5</v>
      </c>
      <c r="D166" s="163"/>
      <c r="E166" s="164"/>
      <c r="F166" s="163"/>
      <c r="G166" s="164"/>
      <c r="H166" s="169"/>
      <c r="I166" s="170"/>
      <c r="J166" s="170"/>
      <c r="K166" s="148"/>
    </row>
    <row r="167" spans="1:11" ht="15.75" hidden="1" thickBot="1" x14ac:dyDescent="0.3">
      <c r="A167" s="150" t="s">
        <v>26</v>
      </c>
      <c r="B167" s="151"/>
      <c r="C167" s="134">
        <v>0.6</v>
      </c>
      <c r="D167" s="165"/>
      <c r="E167" s="166"/>
      <c r="F167" s="165"/>
      <c r="G167" s="166"/>
      <c r="H167" s="171"/>
      <c r="I167" s="172"/>
      <c r="J167" s="172"/>
      <c r="K167" s="149"/>
    </row>
  </sheetData>
  <mergeCells count="393">
    <mergeCell ref="G38:J38"/>
    <mergeCell ref="C51:D51"/>
    <mergeCell ref="J53:K53"/>
    <mergeCell ref="I28:K28"/>
    <mergeCell ref="I31:K31"/>
    <mergeCell ref="I32:J32"/>
    <mergeCell ref="H75:K75"/>
    <mergeCell ref="H78:J80"/>
    <mergeCell ref="K78:K80"/>
    <mergeCell ref="H76:J76"/>
    <mergeCell ref="H77:J77"/>
    <mergeCell ref="F74:G74"/>
    <mergeCell ref="F75:G75"/>
    <mergeCell ref="F76:G76"/>
    <mergeCell ref="F77:G77"/>
    <mergeCell ref="A42:K42"/>
    <mergeCell ref="I29:K30"/>
    <mergeCell ref="I34:J34"/>
    <mergeCell ref="I35:J35"/>
    <mergeCell ref="I36:J36"/>
    <mergeCell ref="A28:H28"/>
    <mergeCell ref="A34:B34"/>
    <mergeCell ref="A33:B33"/>
    <mergeCell ref="I57:K57"/>
    <mergeCell ref="H4:J4"/>
    <mergeCell ref="A43:B43"/>
    <mergeCell ref="J51:K51"/>
    <mergeCell ref="C47:D47"/>
    <mergeCell ref="C45:D46"/>
    <mergeCell ref="G47:K47"/>
    <mergeCell ref="C49:D49"/>
    <mergeCell ref="C50:D50"/>
    <mergeCell ref="G44:K44"/>
    <mergeCell ref="G51:I51"/>
    <mergeCell ref="G50:I50"/>
    <mergeCell ref="C36:C37"/>
    <mergeCell ref="A49:B49"/>
    <mergeCell ref="C48:D48"/>
    <mergeCell ref="A38:E38"/>
    <mergeCell ref="J48:K48"/>
    <mergeCell ref="J50:K50"/>
    <mergeCell ref="A45:B46"/>
    <mergeCell ref="A51:B51"/>
    <mergeCell ref="A48:B48"/>
    <mergeCell ref="A4:F4"/>
    <mergeCell ref="C43:D43"/>
    <mergeCell ref="E43:I43"/>
    <mergeCell ref="I33:J33"/>
    <mergeCell ref="J3:K3"/>
    <mergeCell ref="A88:B88"/>
    <mergeCell ref="A89:B89"/>
    <mergeCell ref="A90:B90"/>
    <mergeCell ref="A91:B91"/>
    <mergeCell ref="J72:K72"/>
    <mergeCell ref="A23:K23"/>
    <mergeCell ref="A24:K24"/>
    <mergeCell ref="A25:B25"/>
    <mergeCell ref="A39:K39"/>
    <mergeCell ref="A40:K40"/>
    <mergeCell ref="A41:B41"/>
    <mergeCell ref="A60:K60"/>
    <mergeCell ref="A47:B47"/>
    <mergeCell ref="G53:I53"/>
    <mergeCell ref="G45:I45"/>
    <mergeCell ref="J45:K45"/>
    <mergeCell ref="G46:I46"/>
    <mergeCell ref="J46:K46"/>
    <mergeCell ref="G48:I48"/>
    <mergeCell ref="G49:I49"/>
    <mergeCell ref="E45:F45"/>
    <mergeCell ref="J43:K43"/>
    <mergeCell ref="E52:E53"/>
    <mergeCell ref="M5:O6"/>
    <mergeCell ref="A5:K5"/>
    <mergeCell ref="A6:K6"/>
    <mergeCell ref="A11:H11"/>
    <mergeCell ref="A12:D12"/>
    <mergeCell ref="E12:H12"/>
    <mergeCell ref="G63:K63"/>
    <mergeCell ref="A58:K58"/>
    <mergeCell ref="G7:K7"/>
    <mergeCell ref="I25:K25"/>
    <mergeCell ref="A7:B7"/>
    <mergeCell ref="G22:J22"/>
    <mergeCell ref="F36:F37"/>
    <mergeCell ref="G36:G37"/>
    <mergeCell ref="I37:J37"/>
    <mergeCell ref="H36:H37"/>
    <mergeCell ref="C29:E29"/>
    <mergeCell ref="F29:H29"/>
    <mergeCell ref="A32:B32"/>
    <mergeCell ref="A35:B35"/>
    <mergeCell ref="A31:B31"/>
    <mergeCell ref="G14:H14"/>
    <mergeCell ref="E20:E21"/>
    <mergeCell ref="F52:F53"/>
    <mergeCell ref="I16:J16"/>
    <mergeCell ref="D36:D37"/>
    <mergeCell ref="A29:B30"/>
    <mergeCell ref="G17:H17"/>
    <mergeCell ref="G16:H16"/>
    <mergeCell ref="G15:H15"/>
    <mergeCell ref="I18:J18"/>
    <mergeCell ref="I19:J19"/>
    <mergeCell ref="I17:J17"/>
    <mergeCell ref="I20:J20"/>
    <mergeCell ref="E27:F27"/>
    <mergeCell ref="H27:J27"/>
    <mergeCell ref="E36:E37"/>
    <mergeCell ref="B20:B21"/>
    <mergeCell ref="A26:K26"/>
    <mergeCell ref="A27:B27"/>
    <mergeCell ref="A22:E22"/>
    <mergeCell ref="G19:H19"/>
    <mergeCell ref="G18:H18"/>
    <mergeCell ref="G20:H21"/>
    <mergeCell ref="C27:D27"/>
    <mergeCell ref="I21:J21"/>
    <mergeCell ref="A36:B37"/>
    <mergeCell ref="A20:A21"/>
    <mergeCell ref="A9:B9"/>
    <mergeCell ref="A8:D8"/>
    <mergeCell ref="E9:F9"/>
    <mergeCell ref="E8:H8"/>
    <mergeCell ref="I8:K8"/>
    <mergeCell ref="I9:J9"/>
    <mergeCell ref="A10:B10"/>
    <mergeCell ref="C9:D9"/>
    <mergeCell ref="E13:E14"/>
    <mergeCell ref="F13:H13"/>
    <mergeCell ref="C13:D13"/>
    <mergeCell ref="B13:B14"/>
    <mergeCell ref="A13:A14"/>
    <mergeCell ref="I14:J14"/>
    <mergeCell ref="G9:H9"/>
    <mergeCell ref="I10:J10"/>
    <mergeCell ref="I11:J11"/>
    <mergeCell ref="I12:J12"/>
    <mergeCell ref="I13:J13"/>
    <mergeCell ref="C20:C21"/>
    <mergeCell ref="D20:D21"/>
    <mergeCell ref="F20:F21"/>
    <mergeCell ref="I15:K15"/>
    <mergeCell ref="A80:B80"/>
    <mergeCell ref="A44:F44"/>
    <mergeCell ref="C52:D53"/>
    <mergeCell ref="A52:B53"/>
    <mergeCell ref="A72:B72"/>
    <mergeCell ref="C72:D72"/>
    <mergeCell ref="A54:F54"/>
    <mergeCell ref="E72:I72"/>
    <mergeCell ref="H54:J54"/>
    <mergeCell ref="A50:B50"/>
    <mergeCell ref="C62:D62"/>
    <mergeCell ref="E62:F62"/>
    <mergeCell ref="C65:D65"/>
    <mergeCell ref="C64:D64"/>
    <mergeCell ref="C66:D66"/>
    <mergeCell ref="A71:K71"/>
    <mergeCell ref="G66:J68"/>
    <mergeCell ref="K66:K68"/>
    <mergeCell ref="G64:K65"/>
    <mergeCell ref="A57:B57"/>
    <mergeCell ref="A59:B59"/>
    <mergeCell ref="F85:I85"/>
    <mergeCell ref="D85:E85"/>
    <mergeCell ref="A85:C85"/>
    <mergeCell ref="G61:K62"/>
    <mergeCell ref="A61:B62"/>
    <mergeCell ref="A81:K83"/>
    <mergeCell ref="H84:J84"/>
    <mergeCell ref="A84:F84"/>
    <mergeCell ref="C67:D67"/>
    <mergeCell ref="C68:D68"/>
    <mergeCell ref="E63:F63"/>
    <mergeCell ref="E64:F64"/>
    <mergeCell ref="E65:F65"/>
    <mergeCell ref="E66:F66"/>
    <mergeCell ref="E67:F67"/>
    <mergeCell ref="E68:F68"/>
    <mergeCell ref="C63:D63"/>
    <mergeCell ref="A73:K73"/>
    <mergeCell ref="A74:B74"/>
    <mergeCell ref="A75:B75"/>
    <mergeCell ref="A76:B76"/>
    <mergeCell ref="A77:B77"/>
    <mergeCell ref="A66:B66"/>
    <mergeCell ref="A67:B67"/>
    <mergeCell ref="A115:D115"/>
    <mergeCell ref="E115:H115"/>
    <mergeCell ref="I115:J115"/>
    <mergeCell ref="A116:A117"/>
    <mergeCell ref="B116:B117"/>
    <mergeCell ref="C116:D116"/>
    <mergeCell ref="E116:E117"/>
    <mergeCell ref="A87:C87"/>
    <mergeCell ref="F86:K86"/>
    <mergeCell ref="J92:K92"/>
    <mergeCell ref="F93:I93"/>
    <mergeCell ref="J93:K93"/>
    <mergeCell ref="F94:I94"/>
    <mergeCell ref="J94:K94"/>
    <mergeCell ref="A105:K107"/>
    <mergeCell ref="A113:B113"/>
    <mergeCell ref="I113:J113"/>
    <mergeCell ref="A114:H114"/>
    <mergeCell ref="I114:J114"/>
    <mergeCell ref="F116:H116"/>
    <mergeCell ref="I116:J116"/>
    <mergeCell ref="G117:H117"/>
    <mergeCell ref="A133:B133"/>
    <mergeCell ref="I133:K133"/>
    <mergeCell ref="I124:J124"/>
    <mergeCell ref="I123:J123"/>
    <mergeCell ref="I120:J120"/>
    <mergeCell ref="I121:J121"/>
    <mergeCell ref="G122:H122"/>
    <mergeCell ref="I122:J122"/>
    <mergeCell ref="G121:H121"/>
    <mergeCell ref="A125:K127"/>
    <mergeCell ref="G120:H120"/>
    <mergeCell ref="A123:A124"/>
    <mergeCell ref="B123:B124"/>
    <mergeCell ref="C123:C124"/>
    <mergeCell ref="D123:D124"/>
    <mergeCell ref="E123:E124"/>
    <mergeCell ref="F123:F124"/>
    <mergeCell ref="G123:H124"/>
    <mergeCell ref="A131:B132"/>
    <mergeCell ref="C131:E131"/>
    <mergeCell ref="F131:H131"/>
    <mergeCell ref="I131:K132"/>
    <mergeCell ref="A128:K128"/>
    <mergeCell ref="A129:B129"/>
    <mergeCell ref="M108:O109"/>
    <mergeCell ref="A111:D111"/>
    <mergeCell ref="E111:H111"/>
    <mergeCell ref="I111:K111"/>
    <mergeCell ref="A112:B112"/>
    <mergeCell ref="C112:D112"/>
    <mergeCell ref="E112:F112"/>
    <mergeCell ref="G112:H112"/>
    <mergeCell ref="A108:K110"/>
    <mergeCell ref="I112:J112"/>
    <mergeCell ref="C129:D129"/>
    <mergeCell ref="E129:F129"/>
    <mergeCell ref="H129:J129"/>
    <mergeCell ref="A130:H130"/>
    <mergeCell ref="I130:K130"/>
    <mergeCell ref="I117:J117"/>
    <mergeCell ref="I119:J119"/>
    <mergeCell ref="G118:H118"/>
    <mergeCell ref="I118:K118"/>
    <mergeCell ref="G119:H119"/>
    <mergeCell ref="A140:K142"/>
    <mergeCell ref="A143:K143"/>
    <mergeCell ref="A144:B144"/>
    <mergeCell ref="C144:D144"/>
    <mergeCell ref="E144:I144"/>
    <mergeCell ref="J144:K144"/>
    <mergeCell ref="A134:B134"/>
    <mergeCell ref="I134:J134"/>
    <mergeCell ref="A135:B135"/>
    <mergeCell ref="I135:J135"/>
    <mergeCell ref="A136:B136"/>
    <mergeCell ref="I136:J136"/>
    <mergeCell ref="A137:B137"/>
    <mergeCell ref="I137:J137"/>
    <mergeCell ref="A138:B139"/>
    <mergeCell ref="C138:C139"/>
    <mergeCell ref="D138:D139"/>
    <mergeCell ref="E138:E139"/>
    <mergeCell ref="F138:F139"/>
    <mergeCell ref="G138:G139"/>
    <mergeCell ref="H138:H139"/>
    <mergeCell ref="I138:J138"/>
    <mergeCell ref="I139:J139"/>
    <mergeCell ref="A145:F145"/>
    <mergeCell ref="G145:K145"/>
    <mergeCell ref="A146:B147"/>
    <mergeCell ref="C146:D147"/>
    <mergeCell ref="E146:F146"/>
    <mergeCell ref="G146:I146"/>
    <mergeCell ref="J146:K146"/>
    <mergeCell ref="G147:I147"/>
    <mergeCell ref="J147:K147"/>
    <mergeCell ref="G154:I154"/>
    <mergeCell ref="J154:K154"/>
    <mergeCell ref="A148:B148"/>
    <mergeCell ref="C148:D148"/>
    <mergeCell ref="G148:K148"/>
    <mergeCell ref="A149:B149"/>
    <mergeCell ref="C149:D149"/>
    <mergeCell ref="G149:I149"/>
    <mergeCell ref="J149:K149"/>
    <mergeCell ref="A150:B150"/>
    <mergeCell ref="C150:D150"/>
    <mergeCell ref="G150:I150"/>
    <mergeCell ref="J150:K150"/>
    <mergeCell ref="A1:F2"/>
    <mergeCell ref="G1:G2"/>
    <mergeCell ref="H1:H2"/>
    <mergeCell ref="A92:B92"/>
    <mergeCell ref="D92:E92"/>
    <mergeCell ref="F95:I95"/>
    <mergeCell ref="J95:K95"/>
    <mergeCell ref="J96:K96"/>
    <mergeCell ref="F96:I96"/>
    <mergeCell ref="F87:I87"/>
    <mergeCell ref="F88:I88"/>
    <mergeCell ref="F89:I89"/>
    <mergeCell ref="F90:I90"/>
    <mergeCell ref="J90:K90"/>
    <mergeCell ref="F91:I91"/>
    <mergeCell ref="J91:K91"/>
    <mergeCell ref="D90:E90"/>
    <mergeCell ref="D91:E91"/>
    <mergeCell ref="D87:E87"/>
    <mergeCell ref="D88:E88"/>
    <mergeCell ref="D89:E89"/>
    <mergeCell ref="J85:K85"/>
    <mergeCell ref="A86:E86"/>
    <mergeCell ref="F92:I92"/>
    <mergeCell ref="L69:L80"/>
    <mergeCell ref="H69:J69"/>
    <mergeCell ref="H74:K74"/>
    <mergeCell ref="A78:B78"/>
    <mergeCell ref="A79:B79"/>
    <mergeCell ref="C59:D59"/>
    <mergeCell ref="J49:K49"/>
    <mergeCell ref="A70:B70"/>
    <mergeCell ref="A69:F69"/>
    <mergeCell ref="G52:I52"/>
    <mergeCell ref="D74:E74"/>
    <mergeCell ref="D75:E75"/>
    <mergeCell ref="D76:E76"/>
    <mergeCell ref="D77:E77"/>
    <mergeCell ref="D78:E80"/>
    <mergeCell ref="F78:G80"/>
    <mergeCell ref="A68:B68"/>
    <mergeCell ref="A64:B64"/>
    <mergeCell ref="A65:B65"/>
    <mergeCell ref="C61:F61"/>
    <mergeCell ref="A63:B63"/>
    <mergeCell ref="A55:K55"/>
    <mergeCell ref="A56:K56"/>
    <mergeCell ref="J52:K52"/>
    <mergeCell ref="A160:K160"/>
    <mergeCell ref="H162:K162"/>
    <mergeCell ref="A155:K157"/>
    <mergeCell ref="A158:K158"/>
    <mergeCell ref="A159:B159"/>
    <mergeCell ref="C159:D159"/>
    <mergeCell ref="E159:I159"/>
    <mergeCell ref="J159:K159"/>
    <mergeCell ref="A3:B3"/>
    <mergeCell ref="G59:H59"/>
    <mergeCell ref="A151:B151"/>
    <mergeCell ref="C151:D151"/>
    <mergeCell ref="G151:I151"/>
    <mergeCell ref="J151:K151"/>
    <mergeCell ref="A152:B152"/>
    <mergeCell ref="C152:D152"/>
    <mergeCell ref="G152:I152"/>
    <mergeCell ref="J152:K152"/>
    <mergeCell ref="A153:B154"/>
    <mergeCell ref="C153:D154"/>
    <mergeCell ref="E153:E154"/>
    <mergeCell ref="F153:F154"/>
    <mergeCell ref="G153:I153"/>
    <mergeCell ref="J153:K153"/>
    <mergeCell ref="K165:K167"/>
    <mergeCell ref="A167:B167"/>
    <mergeCell ref="A161:B161"/>
    <mergeCell ref="D161:E161"/>
    <mergeCell ref="F161:G161"/>
    <mergeCell ref="H161:K161"/>
    <mergeCell ref="A162:B162"/>
    <mergeCell ref="D162:E162"/>
    <mergeCell ref="F162:G162"/>
    <mergeCell ref="A163:B163"/>
    <mergeCell ref="D163:E163"/>
    <mergeCell ref="F163:G163"/>
    <mergeCell ref="H163:J163"/>
    <mergeCell ref="A164:B164"/>
    <mergeCell ref="A165:B165"/>
    <mergeCell ref="A166:B166"/>
    <mergeCell ref="D164:E164"/>
    <mergeCell ref="F164:G164"/>
    <mergeCell ref="H164:J164"/>
    <mergeCell ref="D165:E167"/>
    <mergeCell ref="F165:G167"/>
    <mergeCell ref="H165:J167"/>
  </mergeCells>
  <conditionalFormatting sqref="A15:D15">
    <cfRule type="expression" dxfId="1864" priority="175">
      <formula>$C$9=1</formula>
    </cfRule>
  </conditionalFormatting>
  <conditionalFormatting sqref="A16:D16">
    <cfRule type="expression" dxfId="1863" priority="174">
      <formula>$C$9=2</formula>
    </cfRule>
  </conditionalFormatting>
  <conditionalFormatting sqref="A17:D17">
    <cfRule type="expression" dxfId="1862" priority="173">
      <formula>$C$9=3</formula>
    </cfRule>
  </conditionalFormatting>
  <conditionalFormatting sqref="E15:G15">
    <cfRule type="expression" dxfId="1861" priority="172">
      <formula>$C$9=1</formula>
    </cfRule>
  </conditionalFormatting>
  <conditionalFormatting sqref="E16:G16">
    <cfRule type="expression" dxfId="1860" priority="171">
      <formula>$C$9=2</formula>
    </cfRule>
  </conditionalFormatting>
  <conditionalFormatting sqref="E17:G17">
    <cfRule type="expression" dxfId="1859" priority="170">
      <formula>$C$9=3</formula>
    </cfRule>
  </conditionalFormatting>
  <conditionalFormatting sqref="A18:G18">
    <cfRule type="expression" dxfId="1858" priority="168">
      <formula>$C$9=4</formula>
    </cfRule>
  </conditionalFormatting>
  <conditionalFormatting sqref="A19:G19">
    <cfRule type="expression" dxfId="1857" priority="167">
      <formula>$C$9=5</formula>
    </cfRule>
  </conditionalFormatting>
  <conditionalFormatting sqref="A20:G20">
    <cfRule type="expression" dxfId="1856" priority="166">
      <formula>$C$9=6</formula>
    </cfRule>
  </conditionalFormatting>
  <conditionalFormatting sqref="C14">
    <cfRule type="expression" dxfId="1855" priority="164">
      <formula>$E$10&gt;0</formula>
    </cfRule>
  </conditionalFormatting>
  <conditionalFormatting sqref="D14">
    <cfRule type="expression" dxfId="1854" priority="162">
      <formula>$G$10&gt;0</formula>
    </cfRule>
  </conditionalFormatting>
  <conditionalFormatting sqref="A31:H31">
    <cfRule type="expression" dxfId="1853" priority="161">
      <formula>$C$27=1</formula>
    </cfRule>
  </conditionalFormatting>
  <conditionalFormatting sqref="A33:H33">
    <cfRule type="expression" dxfId="1852" priority="159">
      <formula>$C$27=3</formula>
    </cfRule>
  </conditionalFormatting>
  <conditionalFormatting sqref="A35:H35">
    <cfRule type="expression" dxfId="1851" priority="157">
      <formula>$C$27=5</formula>
    </cfRule>
  </conditionalFormatting>
  <conditionalFormatting sqref="A36:H37">
    <cfRule type="expression" dxfId="1850" priority="156">
      <formula>$C$27=6</formula>
    </cfRule>
  </conditionalFormatting>
  <conditionalFormatting sqref="A32:H32">
    <cfRule type="expression" dxfId="1849" priority="155">
      <formula>$C$27=2</formula>
    </cfRule>
  </conditionalFormatting>
  <conditionalFormatting sqref="G14">
    <cfRule type="expression" dxfId="1848" priority="150">
      <formula>$H$10&gt;0</formula>
    </cfRule>
  </conditionalFormatting>
  <conditionalFormatting sqref="A34:H34">
    <cfRule type="expression" dxfId="1847" priority="149">
      <formula>$C$27=4</formula>
    </cfRule>
  </conditionalFormatting>
  <conditionalFormatting sqref="A47:F47">
    <cfRule type="expression" dxfId="1846" priority="147">
      <formula>$C$43=1</formula>
    </cfRule>
  </conditionalFormatting>
  <conditionalFormatting sqref="A49:F49">
    <cfRule type="expression" dxfId="1845" priority="146">
      <formula>$C$43=3</formula>
    </cfRule>
  </conditionalFormatting>
  <conditionalFormatting sqref="A51:E51">
    <cfRule type="expression" dxfId="1844" priority="145">
      <formula>$C$43=5</formula>
    </cfRule>
  </conditionalFormatting>
  <conditionalFormatting sqref="A48:F48">
    <cfRule type="expression" dxfId="1843" priority="143">
      <formula>$C$43=2</formula>
    </cfRule>
  </conditionalFormatting>
  <conditionalFormatting sqref="F46">
    <cfRule type="expression" dxfId="1842" priority="140">
      <formula>$J$46&gt;0</formula>
    </cfRule>
  </conditionalFormatting>
  <conditionalFormatting sqref="E46">
    <cfRule type="expression" dxfId="1841" priority="139">
      <formula>$J$43&gt;0</formula>
    </cfRule>
  </conditionalFormatting>
  <conditionalFormatting sqref="A50:F50">
    <cfRule type="expression" dxfId="1840" priority="137">
      <formula>$C$43=4</formula>
    </cfRule>
  </conditionalFormatting>
  <conditionalFormatting sqref="A52:F53">
    <cfRule type="expression" dxfId="1839" priority="135">
      <formula>$C$43=6</formula>
    </cfRule>
  </conditionalFormatting>
  <conditionalFormatting sqref="A68:B68">
    <cfRule type="expression" dxfId="1838" priority="132">
      <formula>$C$43=5</formula>
    </cfRule>
  </conditionalFormatting>
  <conditionalFormatting sqref="A67:F67">
    <cfRule type="expression" dxfId="1837" priority="125">
      <formula>$C$59=5</formula>
    </cfRule>
  </conditionalFormatting>
  <conditionalFormatting sqref="A68:F68">
    <cfRule type="expression" dxfId="1836" priority="123">
      <formula>$C$43=6</formula>
    </cfRule>
    <cfRule type="expression" dxfId="1835" priority="128">
      <formula>$C$59=6</formula>
    </cfRule>
  </conditionalFormatting>
  <conditionalFormatting sqref="A64:F64">
    <cfRule type="expression" dxfId="1834" priority="121">
      <formula>$C$59=2</formula>
    </cfRule>
  </conditionalFormatting>
  <conditionalFormatting sqref="A63:F63">
    <cfRule type="expression" dxfId="1833" priority="120">
      <formula>$C$59=1</formula>
    </cfRule>
  </conditionalFormatting>
  <conditionalFormatting sqref="A65:F65">
    <cfRule type="expression" dxfId="1832" priority="119">
      <formula>$C$59=3</formula>
    </cfRule>
  </conditionalFormatting>
  <conditionalFormatting sqref="A66:F66">
    <cfRule type="expression" dxfId="1831" priority="118">
      <formula>$C$59=4</formula>
    </cfRule>
  </conditionalFormatting>
  <conditionalFormatting sqref="C30">
    <cfRule type="expression" dxfId="1830" priority="115">
      <formula>AND($C$30=$G$27,$K$27&lt;130)</formula>
    </cfRule>
  </conditionalFormatting>
  <conditionalFormatting sqref="D30">
    <cfRule type="expression" dxfId="1829" priority="114">
      <formula>AND($D$30=$G$27,$K$27&lt;130)</formula>
    </cfRule>
  </conditionalFormatting>
  <conditionalFormatting sqref="E30">
    <cfRule type="expression" dxfId="1828" priority="113">
      <formula>AND($E$30=$G$27,$K$27&lt;130)</formula>
    </cfRule>
  </conditionalFormatting>
  <conditionalFormatting sqref="A80:C80">
    <cfRule type="expression" dxfId="1827" priority="106">
      <formula>$C$72=6</formula>
    </cfRule>
  </conditionalFormatting>
  <conditionalFormatting sqref="A79:C79">
    <cfRule type="expression" dxfId="1826" priority="105">
      <formula>$C$72=5</formula>
    </cfRule>
  </conditionalFormatting>
  <conditionalFormatting sqref="A76:C76">
    <cfRule type="expression" dxfId="1825" priority="103">
      <formula>$C$72=2</formula>
    </cfRule>
  </conditionalFormatting>
  <conditionalFormatting sqref="A75:C75">
    <cfRule type="expression" dxfId="1824" priority="102">
      <formula>$C$72=1</formula>
    </cfRule>
  </conditionalFormatting>
  <conditionalFormatting sqref="A77:C77">
    <cfRule type="expression" dxfId="1823" priority="101">
      <formula>$C$72=3</formula>
    </cfRule>
  </conditionalFormatting>
  <conditionalFormatting sqref="A78:C78">
    <cfRule type="expression" dxfId="1822" priority="100">
      <formula>$C$72=4</formula>
    </cfRule>
  </conditionalFormatting>
  <conditionalFormatting sqref="C62:D62">
    <cfRule type="expression" dxfId="1821" priority="99">
      <formula>$C$62=$F$59</formula>
    </cfRule>
  </conditionalFormatting>
  <conditionalFormatting sqref="E62:F62">
    <cfRule type="expression" dxfId="1820" priority="97">
      <formula>$E$62=$F$59</formula>
    </cfRule>
  </conditionalFormatting>
  <conditionalFormatting sqref="C29:E29">
    <cfRule type="expression" dxfId="1819" priority="96">
      <formula>$K$27&lt;=130</formula>
    </cfRule>
  </conditionalFormatting>
  <conditionalFormatting sqref="F29:H29">
    <cfRule type="expression" dxfId="1818" priority="95">
      <formula>$K$27&gt;130</formula>
    </cfRule>
  </conditionalFormatting>
  <conditionalFormatting sqref="F14">
    <cfRule type="expression" dxfId="1817" priority="10">
      <formula>$E$10&gt;0</formula>
    </cfRule>
  </conditionalFormatting>
  <conditionalFormatting sqref="F30">
    <cfRule type="expression" dxfId="1816" priority="9">
      <formula>AND($C$30=$G$27,$K$27&gt;=130)</formula>
    </cfRule>
  </conditionalFormatting>
  <conditionalFormatting sqref="G30">
    <cfRule type="expression" dxfId="1815" priority="8">
      <formula>AND($D$30=$G$27,$K$27&gt;=130)</formula>
    </cfRule>
  </conditionalFormatting>
  <conditionalFormatting sqref="H30">
    <cfRule type="expression" dxfId="1814" priority="7">
      <formula>AND($E$30=$G$27,$K$27&gt;=130)</formula>
    </cfRule>
  </conditionalFormatting>
  <dataValidations count="6">
    <dataValidation type="list" showInputMessage="1" showErrorMessage="1" sqref="C100:D100" xr:uid="{00000000-0002-0000-0000-000000000000}">
      <formula1>$P$2:$P$8</formula1>
    </dataValidation>
    <dataValidation type="list" allowBlank="1" showInputMessage="1" showErrorMessage="1" sqref="I2" xr:uid="{00000000-0002-0000-0000-000001000000}">
      <formula1>$R$6:$R$15</formula1>
    </dataValidation>
    <dataValidation type="list" allowBlank="1" showInputMessage="1" showErrorMessage="1" sqref="J2" xr:uid="{00000000-0002-0000-0000-000002000000}">
      <formula1>$S$6:$S$14</formula1>
    </dataValidation>
    <dataValidation type="list" allowBlank="1" showInputMessage="1" showErrorMessage="1" sqref="G27 G129" xr:uid="{00000000-0002-0000-0000-000003000000}">
      <formula1>$C$30:$E$30</formula1>
    </dataValidation>
    <dataValidation type="list" allowBlank="1" showInputMessage="1" showErrorMessage="1" sqref="F59" xr:uid="{00000000-0002-0000-0000-000004000000}">
      <formula1>$U$6:$U$7</formula1>
    </dataValidation>
    <dataValidation type="list" showInputMessage="1" showErrorMessage="1" sqref="C9:D9 D85:E85 C72:D72 C59:D59 C43:D43 C27:D27" xr:uid="{00000000-0002-0000-0000-000005000000}">
      <formula1>$V$6:$V$11</formula1>
    </dataValidation>
  </dataValidations>
  <hyperlinks>
    <hyperlink ref="D57" r:id="rId1" xr:uid="{00000000-0004-0000-0000-000000000000}"/>
    <hyperlink ref="F57" r:id="rId2" xr:uid="{00000000-0004-0000-0000-000001000000}"/>
    <hyperlink ref="H57" r:id="rId3" xr:uid="{00000000-0004-0000-0000-000002000000}"/>
    <hyperlink ref="D25" r:id="rId4" xr:uid="{00000000-0004-0000-0000-000003000000}"/>
    <hyperlink ref="F25" r:id="rId5" xr:uid="{00000000-0004-0000-0000-000004000000}"/>
    <hyperlink ref="H25" r:id="rId6" xr:uid="{00000000-0004-0000-0000-000005000000}"/>
    <hyperlink ref="D41" r:id="rId7" xr:uid="{00000000-0004-0000-0000-000006000000}"/>
    <hyperlink ref="F41" r:id="rId8" xr:uid="{00000000-0004-0000-0000-000007000000}"/>
    <hyperlink ref="D7" r:id="rId9" xr:uid="{00000000-0004-0000-0000-000008000000}"/>
    <hyperlink ref="F7" r:id="rId10" xr:uid="{00000000-0004-0000-0000-000009000000}"/>
    <hyperlink ref="C88" r:id="rId11" xr:uid="{00000000-0004-0000-0000-00000A000000}"/>
    <hyperlink ref="C89" r:id="rId12" xr:uid="{00000000-0004-0000-0000-00000B000000}"/>
    <hyperlink ref="C90" r:id="rId13" xr:uid="{00000000-0004-0000-0000-00000C000000}"/>
    <hyperlink ref="H41" r:id="rId14" xr:uid="{00000000-0004-0000-0000-00000D000000}"/>
    <hyperlink ref="D70" r:id="rId15" xr:uid="{00000000-0004-0000-0000-00000E000000}"/>
    <hyperlink ref="C91" r:id="rId16" xr:uid="{00000000-0004-0000-0000-00000F000000}"/>
  </hyperlinks>
  <pageMargins left="0.7" right="0.7" top="0.75" bottom="0.75" header="0.3" footer="0.3"/>
  <pageSetup orientation="portrait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20" name="Button 3">
              <controlPr defaultSize="0" print="0" autoFill="0" autoPict="0" macro="[0]!Módulo1.CopiarCeldas">
                <anchor moveWithCells="1" sizeWithCells="1">
                  <from>
                    <xdr:col>10</xdr:col>
                    <xdr:colOff>28575</xdr:colOff>
                    <xdr:row>1</xdr:row>
                    <xdr:rowOff>19050</xdr:rowOff>
                  </from>
                  <to>
                    <xdr:col>10</xdr:col>
                    <xdr:colOff>1095375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1" name="Button 5">
              <controlPr defaultSize="0" print="0" autoFill="0" autoPict="0" macro="[0]!bloquearb">
                <anchor moveWithCells="1" sizeWithCells="1">
                  <from>
                    <xdr:col>6</xdr:col>
                    <xdr:colOff>1019175</xdr:colOff>
                    <xdr:row>0</xdr:row>
                    <xdr:rowOff>85725</xdr:rowOff>
                  </from>
                  <to>
                    <xdr:col>7</xdr:col>
                    <xdr:colOff>704850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2" name="Button 6">
              <controlPr defaultSize="0" print="0" autoFill="0" autoPict="0" macro="[0]!desbloquearb">
                <anchor moveWithCells="1" sizeWithCells="1">
                  <from>
                    <xdr:col>6</xdr:col>
                    <xdr:colOff>1019175</xdr:colOff>
                    <xdr:row>1</xdr:row>
                    <xdr:rowOff>19050</xdr:rowOff>
                  </from>
                  <to>
                    <xdr:col>7</xdr:col>
                    <xdr:colOff>704850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3" name="Button 9">
              <controlPr defaultSize="0" print="0" autoFill="0" autoPict="0" macro="[0]!AA">
                <anchor moveWithCells="1" sizeWithCells="1">
                  <from>
                    <xdr:col>2</xdr:col>
                    <xdr:colOff>66675</xdr:colOff>
                    <xdr:row>2</xdr:row>
                    <xdr:rowOff>47625</xdr:rowOff>
                  </from>
                  <to>
                    <xdr:col>2</xdr:col>
                    <xdr:colOff>923925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4" name="Button 10">
              <controlPr defaultSize="0" print="0" autoFill="0" autoPict="0" macro="[0]!Energía">
                <anchor moveWithCells="1" sizeWithCells="1">
                  <from>
                    <xdr:col>3</xdr:col>
                    <xdr:colOff>66675</xdr:colOff>
                    <xdr:row>2</xdr:row>
                    <xdr:rowOff>47625</xdr:rowOff>
                  </from>
                  <to>
                    <xdr:col>3</xdr:col>
                    <xdr:colOff>885825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5" name="Button 11">
              <controlPr defaultSize="0" print="0" autoFill="0" autoPict="0" macro="[0]!Gas">
                <anchor moveWithCells="1" sizeWithCells="1">
                  <from>
                    <xdr:col>4</xdr:col>
                    <xdr:colOff>76200</xdr:colOff>
                    <xdr:row>2</xdr:row>
                    <xdr:rowOff>47625</xdr:rowOff>
                  </from>
                  <to>
                    <xdr:col>4</xdr:col>
                    <xdr:colOff>914400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26" name="Button 12">
              <controlPr defaultSize="0" print="0" autoFill="0" autoPict="0" macro="[0]!AP">
                <anchor moveWithCells="1" sizeWithCells="1">
                  <from>
                    <xdr:col>5</xdr:col>
                    <xdr:colOff>76200</xdr:colOff>
                    <xdr:row>2</xdr:row>
                    <xdr:rowOff>47625</xdr:rowOff>
                  </from>
                  <to>
                    <xdr:col>5</xdr:col>
                    <xdr:colOff>828675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7" name="Button 13">
              <controlPr defaultSize="0" print="0" autoFill="0" autoPict="0" macro="[0]!Aseo">
                <anchor moveWithCells="1" sizeWithCells="1">
                  <from>
                    <xdr:col>6</xdr:col>
                    <xdr:colOff>209550</xdr:colOff>
                    <xdr:row>2</xdr:row>
                    <xdr:rowOff>47625</xdr:rowOff>
                  </from>
                  <to>
                    <xdr:col>6</xdr:col>
                    <xdr:colOff>1047750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73"/>
  <sheetViews>
    <sheetView topLeftCell="K31" zoomScale="115" zoomScaleNormal="115" workbookViewId="0">
      <selection activeCell="S46" sqref="P41:S47"/>
    </sheetView>
  </sheetViews>
  <sheetFormatPr baseColWidth="10" defaultRowHeight="15" x14ac:dyDescent="0.25"/>
  <cols>
    <col min="1" max="1" width="15.5703125" customWidth="1"/>
    <col min="2" max="2" width="23.140625" customWidth="1"/>
    <col min="7" max="7" width="17.5703125" bestFit="1" customWidth="1"/>
    <col min="8" max="8" width="13.28515625" customWidth="1"/>
    <col min="9" max="9" width="13.140625" customWidth="1"/>
    <col min="10" max="10" width="11.5703125" customWidth="1"/>
    <col min="11" max="11" width="16.85546875" customWidth="1"/>
  </cols>
  <sheetData>
    <row r="1" spans="1:28" ht="26.25" thickBot="1" x14ac:dyDescent="0.3">
      <c r="A1" s="511" t="s">
        <v>83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28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180</v>
      </c>
      <c r="U2" s="480"/>
      <c r="V2" s="480"/>
      <c r="W2" s="481"/>
      <c r="X2" s="479" t="s">
        <v>170</v>
      </c>
      <c r="Y2" s="480"/>
      <c r="Z2" s="480"/>
      <c r="AA2" s="480"/>
      <c r="AB2" s="481"/>
    </row>
    <row r="3" spans="1:28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51</v>
      </c>
      <c r="U3" s="485"/>
      <c r="V3" s="485"/>
      <c r="W3" s="486"/>
      <c r="X3" s="473" t="s">
        <v>165</v>
      </c>
      <c r="Y3" s="474"/>
      <c r="Z3" s="473" t="s">
        <v>166</v>
      </c>
      <c r="AA3" s="474"/>
      <c r="AB3" s="477" t="s">
        <v>171</v>
      </c>
    </row>
    <row r="4" spans="1:28" ht="21.75" customHeight="1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6" t="s">
        <v>38</v>
      </c>
      <c r="S4" s="56" t="s">
        <v>39</v>
      </c>
      <c r="T4" s="487"/>
      <c r="U4" s="488"/>
      <c r="V4" s="488"/>
      <c r="W4" s="489"/>
      <c r="X4" s="475"/>
      <c r="Y4" s="476"/>
      <c r="Z4" s="475"/>
      <c r="AA4" s="476"/>
      <c r="AB4" s="478"/>
    </row>
    <row r="5" spans="1:28" ht="15.75" customHeight="1" thickBot="1" x14ac:dyDescent="0.3">
      <c r="A5" s="491"/>
      <c r="B5" s="14" t="s">
        <v>25</v>
      </c>
      <c r="C5" s="39">
        <v>3321.4</v>
      </c>
      <c r="D5" s="1">
        <v>644.91</v>
      </c>
      <c r="E5" s="1">
        <v>1612.27</v>
      </c>
      <c r="F5" s="1">
        <v>1783.04</v>
      </c>
      <c r="G5" s="1">
        <v>680.94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308">
        <v>4.2000000000000003E-2</v>
      </c>
      <c r="U5" s="309"/>
      <c r="V5" s="308" t="s">
        <v>122</v>
      </c>
      <c r="W5" s="309"/>
      <c r="X5" s="467"/>
      <c r="Y5" s="468"/>
      <c r="Z5" s="467"/>
      <c r="AA5" s="468"/>
      <c r="AB5" s="43"/>
    </row>
    <row r="6" spans="1:28" ht="15.75" thickBot="1" x14ac:dyDescent="0.3">
      <c r="A6" s="491"/>
      <c r="B6" s="14" t="s">
        <v>21</v>
      </c>
      <c r="C6" s="39">
        <v>4982.09</v>
      </c>
      <c r="D6" s="10">
        <v>967.36</v>
      </c>
      <c r="E6" s="1">
        <v>1612.27</v>
      </c>
      <c r="F6" s="1">
        <v>2674.55</v>
      </c>
      <c r="G6" s="1">
        <v>1021.42</v>
      </c>
      <c r="H6" s="199">
        <v>1702.36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308">
        <v>6.0999999999999999E-2</v>
      </c>
      <c r="U6" s="309"/>
      <c r="V6" s="308" t="s">
        <v>122</v>
      </c>
      <c r="W6" s="309"/>
      <c r="X6" s="467"/>
      <c r="Y6" s="468"/>
      <c r="Z6" s="467"/>
      <c r="AA6" s="468"/>
      <c r="AB6" s="43"/>
    </row>
    <row r="7" spans="1:28" ht="15.75" thickBot="1" x14ac:dyDescent="0.3">
      <c r="A7" s="491"/>
      <c r="B7" s="14" t="s">
        <v>24</v>
      </c>
      <c r="C7" s="39">
        <v>7265.55</v>
      </c>
      <c r="D7" s="1">
        <v>1410.74</v>
      </c>
      <c r="E7" s="1">
        <v>1612.27</v>
      </c>
      <c r="F7" s="1">
        <v>3900.39</v>
      </c>
      <c r="G7" s="1">
        <v>1489.57</v>
      </c>
      <c r="H7" s="199">
        <v>1702.36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308">
        <v>9.7000000000000003E-2</v>
      </c>
      <c r="U7" s="309"/>
      <c r="V7" s="308" t="s">
        <v>122</v>
      </c>
      <c r="W7" s="309"/>
      <c r="X7" s="467"/>
      <c r="Y7" s="468"/>
      <c r="Z7" s="467"/>
      <c r="AA7" s="468"/>
      <c r="AB7" s="43"/>
    </row>
    <row r="8" spans="1:28" ht="15.75" thickBot="1" x14ac:dyDescent="0.3">
      <c r="A8" s="491"/>
      <c r="B8" s="14" t="s">
        <v>22</v>
      </c>
      <c r="C8" s="39">
        <v>8303.49</v>
      </c>
      <c r="D8" s="1">
        <v>1612.27</v>
      </c>
      <c r="E8" s="1">
        <v>1612.27</v>
      </c>
      <c r="F8" s="1">
        <v>4457.59</v>
      </c>
      <c r="G8" s="1">
        <v>1702.36</v>
      </c>
      <c r="H8" s="199">
        <v>1702.36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308">
        <v>0.13800000000000001</v>
      </c>
      <c r="U8" s="309"/>
      <c r="V8" s="308" t="s">
        <v>122</v>
      </c>
      <c r="W8" s="309"/>
      <c r="X8" s="467"/>
      <c r="Y8" s="468"/>
      <c r="Z8" s="467"/>
      <c r="AA8" s="468"/>
      <c r="AB8" s="43"/>
    </row>
    <row r="9" spans="1:28" ht="15.75" thickBot="1" x14ac:dyDescent="0.3">
      <c r="A9" s="491"/>
      <c r="B9" s="21" t="s">
        <v>23</v>
      </c>
      <c r="C9" s="39">
        <v>12455.24</v>
      </c>
      <c r="D9" s="22">
        <v>2418.41</v>
      </c>
      <c r="E9" s="22">
        <v>2418.41</v>
      </c>
      <c r="F9" s="22">
        <v>6686.39</v>
      </c>
      <c r="G9" s="22">
        <v>2553.54</v>
      </c>
      <c r="H9" s="308">
        <v>2553.54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308">
        <v>0.17799999999999999</v>
      </c>
      <c r="U9" s="309"/>
      <c r="V9" s="308" t="s">
        <v>122</v>
      </c>
      <c r="W9" s="309"/>
      <c r="X9" s="467"/>
      <c r="Y9" s="468"/>
      <c r="Z9" s="467"/>
      <c r="AA9" s="468"/>
      <c r="AB9" s="43"/>
    </row>
    <row r="10" spans="1:28" x14ac:dyDescent="0.25">
      <c r="A10" s="491"/>
      <c r="B10" s="351" t="s">
        <v>26</v>
      </c>
      <c r="C10" s="215">
        <v>13285.58</v>
      </c>
      <c r="D10" s="215">
        <v>2579.63</v>
      </c>
      <c r="E10" s="215">
        <v>2579.63</v>
      </c>
      <c r="F10" s="215">
        <v>7132.14</v>
      </c>
      <c r="G10" s="215">
        <v>2723.78</v>
      </c>
      <c r="H10" s="207">
        <v>2723.78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0.25</v>
      </c>
      <c r="U10" s="297"/>
      <c r="V10" s="296" t="s">
        <v>122</v>
      </c>
      <c r="W10" s="297"/>
      <c r="X10" s="469"/>
      <c r="Y10" s="470"/>
      <c r="Z10" s="469"/>
      <c r="AA10" s="470"/>
      <c r="AB10" s="471"/>
    </row>
    <row r="11" spans="1:28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376"/>
      <c r="Y11" s="378"/>
      <c r="Z11" s="376"/>
      <c r="AA11" s="378"/>
      <c r="AB11" s="472"/>
    </row>
    <row r="12" spans="1:28" ht="18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51</v>
      </c>
      <c r="U12" s="485"/>
      <c r="V12" s="485"/>
      <c r="W12" s="486"/>
      <c r="X12" s="473" t="s">
        <v>165</v>
      </c>
      <c r="Y12" s="474"/>
      <c r="Z12" s="473" t="s">
        <v>166</v>
      </c>
      <c r="AA12" s="474"/>
      <c r="AB12" s="477" t="s">
        <v>171</v>
      </c>
    </row>
    <row r="13" spans="1:28" ht="25.5" customHeight="1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6" t="s">
        <v>38</v>
      </c>
      <c r="S13" s="56" t="s">
        <v>39</v>
      </c>
      <c r="T13" s="487"/>
      <c r="U13" s="488"/>
      <c r="V13" s="488"/>
      <c r="W13" s="489"/>
      <c r="X13" s="475"/>
      <c r="Y13" s="476"/>
      <c r="Z13" s="475"/>
      <c r="AA13" s="476"/>
      <c r="AB13" s="478"/>
    </row>
    <row r="14" spans="1:28" ht="16.5" customHeight="1" thickBot="1" x14ac:dyDescent="0.3">
      <c r="A14" s="491"/>
      <c r="B14" s="14" t="s">
        <v>25</v>
      </c>
      <c r="C14" s="39">
        <v>3321.4</v>
      </c>
      <c r="D14" s="1">
        <v>644.91</v>
      </c>
      <c r="E14" s="1">
        <v>1612.27</v>
      </c>
      <c r="F14" s="1">
        <v>1783.04</v>
      </c>
      <c r="G14" s="1">
        <v>680.94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308">
        <v>4.2000000000000003E-2</v>
      </c>
      <c r="U14" s="309"/>
      <c r="V14" s="308" t="s">
        <v>122</v>
      </c>
      <c r="W14" s="309"/>
      <c r="X14" s="467"/>
      <c r="Y14" s="468"/>
      <c r="Z14" s="467"/>
      <c r="AA14" s="468"/>
      <c r="AB14" s="43"/>
    </row>
    <row r="15" spans="1:28" ht="15.75" customHeight="1" thickBot="1" x14ac:dyDescent="0.3">
      <c r="A15" s="491"/>
      <c r="B15" s="14" t="s">
        <v>21</v>
      </c>
      <c r="C15" s="39">
        <v>4982.09</v>
      </c>
      <c r="D15" s="10">
        <v>967.36</v>
      </c>
      <c r="E15" s="1">
        <v>1612.27</v>
      </c>
      <c r="F15" s="1">
        <v>2674.55</v>
      </c>
      <c r="G15" s="1">
        <v>1021.42</v>
      </c>
      <c r="H15" s="199">
        <v>1702.36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308">
        <v>6.0999999999999999E-2</v>
      </c>
      <c r="U15" s="309"/>
      <c r="V15" s="308" t="s">
        <v>122</v>
      </c>
      <c r="W15" s="309"/>
      <c r="X15" s="467"/>
      <c r="Y15" s="468"/>
      <c r="Z15" s="467"/>
      <c r="AA15" s="468"/>
      <c r="AB15" s="43"/>
    </row>
    <row r="16" spans="1:28" ht="15.75" customHeight="1" thickBot="1" x14ac:dyDescent="0.3">
      <c r="A16" s="491"/>
      <c r="B16" s="14" t="s">
        <v>24</v>
      </c>
      <c r="C16" s="39">
        <v>7265.55</v>
      </c>
      <c r="D16" s="1">
        <v>1410.74</v>
      </c>
      <c r="E16" s="1">
        <v>1612.27</v>
      </c>
      <c r="F16" s="1">
        <v>3900.39</v>
      </c>
      <c r="G16" s="1">
        <v>1489.57</v>
      </c>
      <c r="H16" s="199">
        <v>1702.36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308">
        <v>9.7000000000000003E-2</v>
      </c>
      <c r="U16" s="309"/>
      <c r="V16" s="308" t="s">
        <v>122</v>
      </c>
      <c r="W16" s="309"/>
      <c r="X16" s="467"/>
      <c r="Y16" s="468"/>
      <c r="Z16" s="467"/>
      <c r="AA16" s="468"/>
      <c r="AB16" s="43"/>
    </row>
    <row r="17" spans="1:28" ht="15.75" thickBot="1" x14ac:dyDescent="0.3">
      <c r="A17" s="491"/>
      <c r="B17" s="14" t="s">
        <v>22</v>
      </c>
      <c r="C17" s="39">
        <v>8303.49</v>
      </c>
      <c r="D17" s="1">
        <v>1612.27</v>
      </c>
      <c r="E17" s="1">
        <v>1612.27</v>
      </c>
      <c r="F17" s="1">
        <v>4457.59</v>
      </c>
      <c r="G17" s="1">
        <v>1702.36</v>
      </c>
      <c r="H17" s="199">
        <v>1702.36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308">
        <v>0.13800000000000001</v>
      </c>
      <c r="U17" s="309"/>
      <c r="V17" s="308" t="s">
        <v>122</v>
      </c>
      <c r="W17" s="309"/>
      <c r="X17" s="467"/>
      <c r="Y17" s="468"/>
      <c r="Z17" s="467"/>
      <c r="AA17" s="468"/>
      <c r="AB17" s="43"/>
    </row>
    <row r="18" spans="1:28" ht="15.75" thickBot="1" x14ac:dyDescent="0.3">
      <c r="A18" s="491"/>
      <c r="B18" s="21" t="s">
        <v>23</v>
      </c>
      <c r="C18" s="39">
        <v>12455.24</v>
      </c>
      <c r="D18" s="22">
        <v>2418.41</v>
      </c>
      <c r="E18" s="22">
        <v>2418.41</v>
      </c>
      <c r="F18" s="22">
        <v>6686.39</v>
      </c>
      <c r="G18" s="22">
        <v>2553.54</v>
      </c>
      <c r="H18" s="308">
        <v>2553.54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308">
        <v>0.17799999999999999</v>
      </c>
      <c r="U18" s="309"/>
      <c r="V18" s="308" t="s">
        <v>122</v>
      </c>
      <c r="W18" s="309"/>
      <c r="X18" s="467"/>
      <c r="Y18" s="468"/>
      <c r="Z18" s="467"/>
      <c r="AA18" s="468"/>
      <c r="AB18" s="43"/>
    </row>
    <row r="19" spans="1:28" x14ac:dyDescent="0.25">
      <c r="A19" s="491"/>
      <c r="B19" s="351" t="s">
        <v>26</v>
      </c>
      <c r="C19" s="215">
        <v>13285.58</v>
      </c>
      <c r="D19" s="215">
        <v>2579.63</v>
      </c>
      <c r="E19" s="215">
        <v>2579.63</v>
      </c>
      <c r="F19" s="215">
        <v>7132.14</v>
      </c>
      <c r="G19" s="215">
        <v>2723.78</v>
      </c>
      <c r="H19" s="207">
        <v>2723.78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0.25</v>
      </c>
      <c r="U19" s="297"/>
      <c r="V19" s="296" t="s">
        <v>122</v>
      </c>
      <c r="W19" s="297"/>
      <c r="X19" s="469"/>
      <c r="Y19" s="470"/>
      <c r="Z19" s="469"/>
      <c r="AA19" s="470"/>
      <c r="AB19" s="471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376"/>
      <c r="Y20" s="378"/>
      <c r="Z20" s="376"/>
      <c r="AA20" s="378"/>
      <c r="AB20" s="472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51</v>
      </c>
      <c r="U21" s="485"/>
      <c r="V21" s="485"/>
      <c r="W21" s="486"/>
      <c r="X21" s="473" t="s">
        <v>165</v>
      </c>
      <c r="Y21" s="474"/>
      <c r="Z21" s="473" t="s">
        <v>166</v>
      </c>
      <c r="AA21" s="474"/>
      <c r="AB21" s="477" t="s">
        <v>171</v>
      </c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6" t="s">
        <v>38</v>
      </c>
      <c r="S22" s="56" t="s">
        <v>39</v>
      </c>
      <c r="T22" s="487"/>
      <c r="U22" s="488"/>
      <c r="V22" s="488"/>
      <c r="W22" s="489"/>
      <c r="X22" s="475"/>
      <c r="Y22" s="476"/>
      <c r="Z22" s="475"/>
      <c r="AA22" s="476"/>
      <c r="AB22" s="478"/>
    </row>
    <row r="23" spans="1:28" ht="15.75" customHeight="1" thickBot="1" x14ac:dyDescent="0.3">
      <c r="A23" s="491"/>
      <c r="B23" s="14" t="s">
        <v>25</v>
      </c>
      <c r="C23" s="39">
        <v>3321.4</v>
      </c>
      <c r="D23" s="1">
        <v>644.91</v>
      </c>
      <c r="E23" s="1">
        <v>1612.27</v>
      </c>
      <c r="F23" s="1">
        <v>1783.04</v>
      </c>
      <c r="G23" s="1">
        <v>680.94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308">
        <v>4.2000000000000003E-2</v>
      </c>
      <c r="U23" s="309"/>
      <c r="V23" s="308" t="s">
        <v>122</v>
      </c>
      <c r="W23" s="309"/>
      <c r="X23" s="467"/>
      <c r="Y23" s="468"/>
      <c r="Z23" s="467"/>
      <c r="AA23" s="468"/>
      <c r="AB23" s="43"/>
    </row>
    <row r="24" spans="1:28" ht="15.75" thickBot="1" x14ac:dyDescent="0.3">
      <c r="A24" s="491"/>
      <c r="B24" s="14" t="s">
        <v>21</v>
      </c>
      <c r="C24" s="39">
        <v>4982.09</v>
      </c>
      <c r="D24" s="10">
        <v>967.36</v>
      </c>
      <c r="E24" s="1">
        <v>1612.27</v>
      </c>
      <c r="F24" s="1">
        <v>2674.55</v>
      </c>
      <c r="G24" s="1">
        <v>1021.42</v>
      </c>
      <c r="H24" s="199">
        <v>1702.36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308">
        <v>6.0999999999999999E-2</v>
      </c>
      <c r="U24" s="309"/>
      <c r="V24" s="308" t="s">
        <v>122</v>
      </c>
      <c r="W24" s="309"/>
      <c r="X24" s="467"/>
      <c r="Y24" s="468"/>
      <c r="Z24" s="467"/>
      <c r="AA24" s="468"/>
      <c r="AB24" s="43"/>
    </row>
    <row r="25" spans="1:28" ht="15.75" thickBot="1" x14ac:dyDescent="0.3">
      <c r="A25" s="491"/>
      <c r="B25" s="14" t="s">
        <v>24</v>
      </c>
      <c r="C25" s="39">
        <v>7265.55</v>
      </c>
      <c r="D25" s="1">
        <v>1410.74</v>
      </c>
      <c r="E25" s="1">
        <v>1612.27</v>
      </c>
      <c r="F25" s="1">
        <v>3900.39</v>
      </c>
      <c r="G25" s="1">
        <v>1489.57</v>
      </c>
      <c r="H25" s="199">
        <v>1702.36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308">
        <v>9.7000000000000003E-2</v>
      </c>
      <c r="U25" s="309"/>
      <c r="V25" s="308" t="s">
        <v>122</v>
      </c>
      <c r="W25" s="309"/>
      <c r="X25" s="467"/>
      <c r="Y25" s="468"/>
      <c r="Z25" s="467"/>
      <c r="AA25" s="468"/>
      <c r="AB25" s="43"/>
    </row>
    <row r="26" spans="1:28" ht="15.75" thickBot="1" x14ac:dyDescent="0.3">
      <c r="A26" s="491"/>
      <c r="B26" s="14" t="s">
        <v>22</v>
      </c>
      <c r="C26" s="39">
        <v>8303.49</v>
      </c>
      <c r="D26" s="1">
        <v>1612.27</v>
      </c>
      <c r="E26" s="1">
        <v>1612.27</v>
      </c>
      <c r="F26" s="1">
        <v>4457.59</v>
      </c>
      <c r="G26" s="1">
        <v>1702.36</v>
      </c>
      <c r="H26" s="199">
        <v>1702.36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308">
        <v>0.13800000000000001</v>
      </c>
      <c r="U26" s="309"/>
      <c r="V26" s="308" t="s">
        <v>122</v>
      </c>
      <c r="W26" s="309"/>
      <c r="X26" s="467"/>
      <c r="Y26" s="468"/>
      <c r="Z26" s="467"/>
      <c r="AA26" s="468"/>
      <c r="AB26" s="43"/>
    </row>
    <row r="27" spans="1:28" ht="15.75" thickBot="1" x14ac:dyDescent="0.3">
      <c r="A27" s="491"/>
      <c r="B27" s="21" t="s">
        <v>23</v>
      </c>
      <c r="C27" s="39">
        <v>12455.24</v>
      </c>
      <c r="D27" s="22">
        <v>2418.41</v>
      </c>
      <c r="E27" s="22">
        <v>2418.41</v>
      </c>
      <c r="F27" s="22">
        <v>6686.39</v>
      </c>
      <c r="G27" s="22">
        <v>2553.54</v>
      </c>
      <c r="H27" s="308">
        <v>2553.54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308">
        <v>0.17799999999999999</v>
      </c>
      <c r="U27" s="309"/>
      <c r="V27" s="308" t="s">
        <v>122</v>
      </c>
      <c r="W27" s="309"/>
      <c r="X27" s="467"/>
      <c r="Y27" s="468"/>
      <c r="Z27" s="467"/>
      <c r="AA27" s="468"/>
      <c r="AB27" s="43"/>
    </row>
    <row r="28" spans="1:28" x14ac:dyDescent="0.25">
      <c r="A28" s="491"/>
      <c r="B28" s="351" t="s">
        <v>26</v>
      </c>
      <c r="C28" s="215">
        <v>13285.58</v>
      </c>
      <c r="D28" s="215">
        <v>2579.63</v>
      </c>
      <c r="E28" s="215">
        <v>2579.63</v>
      </c>
      <c r="F28" s="215">
        <v>7132.14</v>
      </c>
      <c r="G28" s="215">
        <v>2723.78</v>
      </c>
      <c r="H28" s="207">
        <v>2723.78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0.25</v>
      </c>
      <c r="U28" s="297"/>
      <c r="V28" s="296" t="s">
        <v>122</v>
      </c>
      <c r="W28" s="297"/>
      <c r="X28" s="469"/>
      <c r="Y28" s="470"/>
      <c r="Z28" s="469"/>
      <c r="AA28" s="470"/>
      <c r="AB28" s="471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376"/>
      <c r="Y29" s="378"/>
      <c r="Z29" s="376"/>
      <c r="AA29" s="378"/>
      <c r="AB29" s="472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51</v>
      </c>
      <c r="U30" s="485"/>
      <c r="V30" s="485"/>
      <c r="W30" s="486"/>
      <c r="X30" s="473" t="s">
        <v>165</v>
      </c>
      <c r="Y30" s="474"/>
      <c r="Z30" s="473" t="s">
        <v>166</v>
      </c>
      <c r="AA30" s="474"/>
      <c r="AB30" s="477" t="s">
        <v>171</v>
      </c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6" t="s">
        <v>38</v>
      </c>
      <c r="S31" s="56" t="s">
        <v>39</v>
      </c>
      <c r="T31" s="487"/>
      <c r="U31" s="488"/>
      <c r="V31" s="488"/>
      <c r="W31" s="489"/>
      <c r="X31" s="475"/>
      <c r="Y31" s="476"/>
      <c r="Z31" s="475"/>
      <c r="AA31" s="476"/>
      <c r="AB31" s="478"/>
    </row>
    <row r="32" spans="1:28" ht="15.75" customHeight="1" thickBot="1" x14ac:dyDescent="0.3">
      <c r="A32" s="491"/>
      <c r="B32" s="14" t="s">
        <v>25</v>
      </c>
      <c r="C32" s="39">
        <v>3321.4</v>
      </c>
      <c r="D32" s="1">
        <v>644.91</v>
      </c>
      <c r="E32" s="1">
        <v>1612.27</v>
      </c>
      <c r="F32" s="1">
        <v>1783.04</v>
      </c>
      <c r="G32" s="1">
        <v>680.94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308">
        <v>4.2000000000000003E-2</v>
      </c>
      <c r="U32" s="309"/>
      <c r="V32" s="308" t="s">
        <v>122</v>
      </c>
      <c r="W32" s="309"/>
      <c r="X32" s="467"/>
      <c r="Y32" s="468"/>
      <c r="Z32" s="467"/>
      <c r="AA32" s="468"/>
      <c r="AB32" s="43"/>
    </row>
    <row r="33" spans="1:28" ht="15.75" thickBot="1" x14ac:dyDescent="0.3">
      <c r="A33" s="491"/>
      <c r="B33" s="14" t="s">
        <v>21</v>
      </c>
      <c r="C33" s="39">
        <v>4982.09</v>
      </c>
      <c r="D33" s="10">
        <v>967.36</v>
      </c>
      <c r="E33" s="1">
        <v>1612.27</v>
      </c>
      <c r="F33" s="1">
        <v>2674.55</v>
      </c>
      <c r="G33" s="1">
        <v>1021.42</v>
      </c>
      <c r="H33" s="199">
        <v>1702.36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308">
        <v>6.0999999999999999E-2</v>
      </c>
      <c r="U33" s="309"/>
      <c r="V33" s="308" t="s">
        <v>122</v>
      </c>
      <c r="W33" s="309"/>
      <c r="X33" s="467"/>
      <c r="Y33" s="468"/>
      <c r="Z33" s="467"/>
      <c r="AA33" s="468"/>
      <c r="AB33" s="43"/>
    </row>
    <row r="34" spans="1:28" ht="15.75" thickBot="1" x14ac:dyDescent="0.3">
      <c r="A34" s="491"/>
      <c r="B34" s="14" t="s">
        <v>24</v>
      </c>
      <c r="C34" s="39">
        <v>7265.55</v>
      </c>
      <c r="D34" s="1">
        <v>1410.74</v>
      </c>
      <c r="E34" s="1">
        <v>1612.27</v>
      </c>
      <c r="F34" s="1">
        <v>3900.39</v>
      </c>
      <c r="G34" s="1">
        <v>1489.57</v>
      </c>
      <c r="H34" s="199">
        <v>1702.36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308">
        <v>9.7000000000000003E-2</v>
      </c>
      <c r="U34" s="309"/>
      <c r="V34" s="308" t="s">
        <v>122</v>
      </c>
      <c r="W34" s="309"/>
      <c r="X34" s="467"/>
      <c r="Y34" s="468"/>
      <c r="Z34" s="467"/>
      <c r="AA34" s="468"/>
      <c r="AB34" s="43"/>
    </row>
    <row r="35" spans="1:28" ht="15.75" thickBot="1" x14ac:dyDescent="0.3">
      <c r="A35" s="491"/>
      <c r="B35" s="14" t="s">
        <v>22</v>
      </c>
      <c r="C35" s="39">
        <v>8303.49</v>
      </c>
      <c r="D35" s="1">
        <v>1612.27</v>
      </c>
      <c r="E35" s="1">
        <v>1612.27</v>
      </c>
      <c r="F35" s="1">
        <v>4457.59</v>
      </c>
      <c r="G35" s="1">
        <v>1702.36</v>
      </c>
      <c r="H35" s="199">
        <v>1702.36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308">
        <v>0.13800000000000001</v>
      </c>
      <c r="U35" s="309"/>
      <c r="V35" s="308" t="s">
        <v>122</v>
      </c>
      <c r="W35" s="309"/>
      <c r="X35" s="467"/>
      <c r="Y35" s="468"/>
      <c r="Z35" s="467"/>
      <c r="AA35" s="468"/>
      <c r="AB35" s="43"/>
    </row>
    <row r="36" spans="1:28" ht="15.75" thickBot="1" x14ac:dyDescent="0.3">
      <c r="A36" s="491"/>
      <c r="B36" s="21" t="s">
        <v>23</v>
      </c>
      <c r="C36" s="39">
        <v>12455.24</v>
      </c>
      <c r="D36" s="22">
        <v>2418.41</v>
      </c>
      <c r="E36" s="22">
        <v>2418.41</v>
      </c>
      <c r="F36" s="22">
        <v>6686.39</v>
      </c>
      <c r="G36" s="22">
        <v>2553.54</v>
      </c>
      <c r="H36" s="308">
        <v>2553.54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308">
        <v>0.17799999999999999</v>
      </c>
      <c r="U36" s="309"/>
      <c r="V36" s="308" t="s">
        <v>122</v>
      </c>
      <c r="W36" s="309"/>
      <c r="X36" s="467"/>
      <c r="Y36" s="468"/>
      <c r="Z36" s="467"/>
      <c r="AA36" s="468"/>
      <c r="AB36" s="43"/>
    </row>
    <row r="37" spans="1:28" x14ac:dyDescent="0.25">
      <c r="A37" s="491"/>
      <c r="B37" s="351" t="s">
        <v>26</v>
      </c>
      <c r="C37" s="215">
        <v>13285.58</v>
      </c>
      <c r="D37" s="215">
        <v>2579.63</v>
      </c>
      <c r="E37" s="215">
        <v>2579.63</v>
      </c>
      <c r="F37" s="215">
        <v>7132.14</v>
      </c>
      <c r="G37" s="215">
        <v>2723.78</v>
      </c>
      <c r="H37" s="207">
        <v>2723.78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0.25</v>
      </c>
      <c r="U37" s="297"/>
      <c r="V37" s="296" t="s">
        <v>122</v>
      </c>
      <c r="W37" s="297"/>
      <c r="X37" s="469"/>
      <c r="Y37" s="470"/>
      <c r="Z37" s="469"/>
      <c r="AA37" s="470"/>
      <c r="AB37" s="471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376"/>
      <c r="Y38" s="378"/>
      <c r="Z38" s="376"/>
      <c r="AA38" s="378"/>
      <c r="AB38" s="472"/>
    </row>
    <row r="39" spans="1:28" ht="15.75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3" t="s">
        <v>165</v>
      </c>
      <c r="Y39" s="474"/>
      <c r="Z39" s="473" t="s">
        <v>166</v>
      </c>
      <c r="AA39" s="474"/>
      <c r="AB39" s="477" t="s">
        <v>171</v>
      </c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6" t="s">
        <v>38</v>
      </c>
      <c r="S40" s="56" t="s">
        <v>39</v>
      </c>
      <c r="T40" s="487"/>
      <c r="U40" s="488"/>
      <c r="V40" s="488"/>
      <c r="W40" s="489"/>
      <c r="X40" s="475"/>
      <c r="Y40" s="476"/>
      <c r="Z40" s="475"/>
      <c r="AA40" s="476"/>
      <c r="AB40" s="478"/>
    </row>
    <row r="41" spans="1:28" ht="15.75" customHeight="1" thickBot="1" x14ac:dyDescent="0.3">
      <c r="A41" s="491"/>
      <c r="B41" s="14" t="s">
        <v>25</v>
      </c>
      <c r="C41" s="39">
        <v>3321.4</v>
      </c>
      <c r="D41" s="22">
        <v>687.91</v>
      </c>
      <c r="E41" s="22">
        <v>1719.77</v>
      </c>
      <c r="F41" s="1">
        <v>1783.04</v>
      </c>
      <c r="G41" s="22">
        <v>680.94</v>
      </c>
      <c r="H41" s="199">
        <v>1702.36</v>
      </c>
      <c r="I41" s="200"/>
      <c r="J41" s="22" t="s">
        <v>106</v>
      </c>
      <c r="K41" s="22" t="s">
        <v>106</v>
      </c>
      <c r="L41" s="22" t="s">
        <v>106</v>
      </c>
      <c r="M41" s="22" t="s">
        <v>106</v>
      </c>
      <c r="N41" s="22" t="s">
        <v>106</v>
      </c>
      <c r="O41" s="22" t="s">
        <v>106</v>
      </c>
      <c r="P41" s="199">
        <v>0</v>
      </c>
      <c r="Q41" s="200"/>
      <c r="R41" s="22">
        <v>658.62</v>
      </c>
      <c r="S41" s="22">
        <v>1312.92</v>
      </c>
      <c r="T41" s="308">
        <v>4.2000000000000003E-2</v>
      </c>
      <c r="U41" s="309"/>
      <c r="V41" s="308" t="s">
        <v>122</v>
      </c>
      <c r="W41" s="309"/>
      <c r="X41" s="467"/>
      <c r="Y41" s="468"/>
      <c r="Z41" s="467"/>
      <c r="AA41" s="468"/>
      <c r="AB41" s="43"/>
    </row>
    <row r="42" spans="1:28" ht="15.75" thickBot="1" x14ac:dyDescent="0.3">
      <c r="A42" s="491"/>
      <c r="B42" s="14" t="s">
        <v>21</v>
      </c>
      <c r="C42" s="39">
        <v>4982.09</v>
      </c>
      <c r="D42" s="22">
        <v>1031.8599999999999</v>
      </c>
      <c r="E42" s="22">
        <v>1719.77</v>
      </c>
      <c r="F42" s="1">
        <v>2674.55</v>
      </c>
      <c r="G42" s="22">
        <v>1021.42</v>
      </c>
      <c r="H42" s="199">
        <v>1702.36</v>
      </c>
      <c r="I42" s="200"/>
      <c r="J42" s="22" t="s">
        <v>106</v>
      </c>
      <c r="K42" s="22" t="s">
        <v>106</v>
      </c>
      <c r="L42" s="22" t="s">
        <v>106</v>
      </c>
      <c r="M42" s="22" t="s">
        <v>106</v>
      </c>
      <c r="N42" s="22" t="s">
        <v>106</v>
      </c>
      <c r="O42" s="22" t="s">
        <v>106</v>
      </c>
      <c r="P42" s="199">
        <v>0</v>
      </c>
      <c r="Q42" s="200"/>
      <c r="R42" s="22">
        <v>819.78</v>
      </c>
      <c r="S42" s="22">
        <v>1312.92</v>
      </c>
      <c r="T42" s="308">
        <v>6.0999999999999999E-2</v>
      </c>
      <c r="U42" s="309"/>
      <c r="V42" s="308" t="s">
        <v>122</v>
      </c>
      <c r="W42" s="309"/>
      <c r="X42" s="467"/>
      <c r="Y42" s="468"/>
      <c r="Z42" s="467"/>
      <c r="AA42" s="468"/>
      <c r="AB42" s="43"/>
    </row>
    <row r="43" spans="1:28" ht="15.75" thickBot="1" x14ac:dyDescent="0.3">
      <c r="A43" s="491"/>
      <c r="B43" s="14" t="s">
        <v>24</v>
      </c>
      <c r="C43" s="39">
        <v>7265.55</v>
      </c>
      <c r="D43" s="22">
        <v>1054.8</v>
      </c>
      <c r="E43" s="22">
        <v>1719.77</v>
      </c>
      <c r="F43" s="1">
        <v>3900.39</v>
      </c>
      <c r="G43" s="22">
        <v>1489.57</v>
      </c>
      <c r="H43" s="199">
        <v>1702.36</v>
      </c>
      <c r="I43" s="200"/>
      <c r="J43" s="22" t="s">
        <v>106</v>
      </c>
      <c r="K43" s="22" t="s">
        <v>106</v>
      </c>
      <c r="L43" s="22" t="s">
        <v>106</v>
      </c>
      <c r="M43" s="22" t="s">
        <v>106</v>
      </c>
      <c r="N43" s="22" t="s">
        <v>106</v>
      </c>
      <c r="O43" s="22" t="s">
        <v>106</v>
      </c>
      <c r="P43" s="199">
        <v>2937.67</v>
      </c>
      <c r="Q43" s="200"/>
      <c r="R43" s="22">
        <v>1312.92</v>
      </c>
      <c r="S43" s="22">
        <v>1312.92</v>
      </c>
      <c r="T43" s="308">
        <v>9.7000000000000003E-2</v>
      </c>
      <c r="U43" s="309"/>
      <c r="V43" s="308" t="s">
        <v>122</v>
      </c>
      <c r="W43" s="309"/>
      <c r="X43" s="467"/>
      <c r="Y43" s="468"/>
      <c r="Z43" s="467"/>
      <c r="AA43" s="468"/>
      <c r="AB43" s="43"/>
    </row>
    <row r="44" spans="1:28" ht="15.75" thickBot="1" x14ac:dyDescent="0.3">
      <c r="A44" s="491"/>
      <c r="B44" s="14" t="s">
        <v>22</v>
      </c>
      <c r="C44" s="39">
        <v>8303.49</v>
      </c>
      <c r="D44" s="22">
        <v>1719.77</v>
      </c>
      <c r="E44" s="22">
        <v>1719.77</v>
      </c>
      <c r="F44" s="1">
        <v>4457.59</v>
      </c>
      <c r="G44" s="22">
        <v>1702.36</v>
      </c>
      <c r="H44" s="199">
        <v>1702.36</v>
      </c>
      <c r="I44" s="200"/>
      <c r="J44" s="22" t="s">
        <v>106</v>
      </c>
      <c r="K44" s="22" t="s">
        <v>106</v>
      </c>
      <c r="L44" s="22" t="s">
        <v>106</v>
      </c>
      <c r="M44" s="22" t="s">
        <v>106</v>
      </c>
      <c r="N44" s="22" t="s">
        <v>106</v>
      </c>
      <c r="O44" s="22" t="s">
        <v>106</v>
      </c>
      <c r="P44" s="199">
        <v>2938.67</v>
      </c>
      <c r="Q44" s="200"/>
      <c r="R44" s="22">
        <v>1312.92</v>
      </c>
      <c r="S44" s="22">
        <v>1312.92</v>
      </c>
      <c r="T44" s="308">
        <v>0.13800000000000001</v>
      </c>
      <c r="U44" s="309"/>
      <c r="V44" s="308" t="s">
        <v>122</v>
      </c>
      <c r="W44" s="309"/>
      <c r="X44" s="467"/>
      <c r="Y44" s="468"/>
      <c r="Z44" s="467"/>
      <c r="AA44" s="468"/>
      <c r="AB44" s="43"/>
    </row>
    <row r="45" spans="1:28" ht="15.75" thickBot="1" x14ac:dyDescent="0.3">
      <c r="A45" s="491"/>
      <c r="B45" s="21" t="s">
        <v>23</v>
      </c>
      <c r="C45" s="39">
        <v>12455.24</v>
      </c>
      <c r="D45" s="22">
        <v>2579.66</v>
      </c>
      <c r="E45" s="22">
        <v>2579.66</v>
      </c>
      <c r="F45" s="22">
        <v>6686.39</v>
      </c>
      <c r="G45" s="22">
        <v>2553.54</v>
      </c>
      <c r="H45" s="308">
        <v>2553.54</v>
      </c>
      <c r="I45" s="309"/>
      <c r="J45" s="22" t="s">
        <v>106</v>
      </c>
      <c r="K45" s="22" t="s">
        <v>106</v>
      </c>
      <c r="L45" s="22" t="s">
        <v>106</v>
      </c>
      <c r="M45" s="22" t="s">
        <v>106</v>
      </c>
      <c r="N45" s="22" t="s">
        <v>106</v>
      </c>
      <c r="O45" s="22" t="s">
        <v>106</v>
      </c>
      <c r="P45" s="199">
        <v>3524.77</v>
      </c>
      <c r="Q45" s="200"/>
      <c r="R45" s="22">
        <v>1575.5</v>
      </c>
      <c r="S45" s="22">
        <v>1575.5</v>
      </c>
      <c r="T45" s="308">
        <v>0.17799999999999999</v>
      </c>
      <c r="U45" s="309"/>
      <c r="V45" s="308" t="s">
        <v>122</v>
      </c>
      <c r="W45" s="309"/>
      <c r="X45" s="467"/>
      <c r="Y45" s="468"/>
      <c r="Z45" s="467"/>
      <c r="AA45" s="468"/>
      <c r="AB45" s="43"/>
    </row>
    <row r="46" spans="1:28" x14ac:dyDescent="0.25">
      <c r="A46" s="491"/>
      <c r="B46" s="351" t="s">
        <v>26</v>
      </c>
      <c r="C46" s="215">
        <v>13285.58</v>
      </c>
      <c r="D46" s="310">
        <v>2751.66</v>
      </c>
      <c r="E46" s="310">
        <v>2751.63</v>
      </c>
      <c r="F46" s="215">
        <v>7132.14</v>
      </c>
      <c r="G46" s="310">
        <v>2723.78</v>
      </c>
      <c r="H46" s="207">
        <v>2723.78</v>
      </c>
      <c r="I46" s="208"/>
      <c r="J46" s="310" t="s">
        <v>106</v>
      </c>
      <c r="K46" s="310" t="s">
        <v>106</v>
      </c>
      <c r="L46" s="310" t="s">
        <v>106</v>
      </c>
      <c r="M46" s="310" t="s">
        <v>106</v>
      </c>
      <c r="N46" s="310" t="s">
        <v>106</v>
      </c>
      <c r="O46" s="310" t="s">
        <v>106</v>
      </c>
      <c r="P46" s="206">
        <v>3524.77</v>
      </c>
      <c r="Q46" s="208"/>
      <c r="R46" s="310">
        <v>1575.5</v>
      </c>
      <c r="S46" s="310">
        <v>1575.5</v>
      </c>
      <c r="T46" s="296">
        <v>0.25</v>
      </c>
      <c r="U46" s="297"/>
      <c r="V46" s="296" t="s">
        <v>122</v>
      </c>
      <c r="W46" s="297"/>
      <c r="X46" s="469"/>
      <c r="Y46" s="470"/>
      <c r="Z46" s="469"/>
      <c r="AA46" s="470"/>
      <c r="AB46" s="471"/>
    </row>
    <row r="47" spans="1:28" ht="15.75" thickBot="1" x14ac:dyDescent="0.3">
      <c r="A47" s="492"/>
      <c r="B47" s="352"/>
      <c r="C47" s="216"/>
      <c r="D47" s="311"/>
      <c r="E47" s="311"/>
      <c r="F47" s="216"/>
      <c r="G47" s="311"/>
      <c r="H47" s="353"/>
      <c r="I47" s="214"/>
      <c r="J47" s="311"/>
      <c r="K47" s="311"/>
      <c r="L47" s="311"/>
      <c r="M47" s="311"/>
      <c r="N47" s="311"/>
      <c r="O47" s="311"/>
      <c r="P47" s="213"/>
      <c r="Q47" s="214"/>
      <c r="R47" s="311"/>
      <c r="S47" s="311"/>
      <c r="T47" s="298"/>
      <c r="U47" s="299"/>
      <c r="V47" s="298"/>
      <c r="W47" s="299"/>
      <c r="X47" s="376"/>
      <c r="Y47" s="378"/>
      <c r="Z47" s="376"/>
      <c r="AA47" s="378"/>
      <c r="AB47" s="472"/>
    </row>
    <row r="50" spans="1:9" x14ac:dyDescent="0.25">
      <c r="G50" s="34"/>
      <c r="H50" s="34"/>
      <c r="I50" s="34"/>
    </row>
    <row r="51" spans="1:9" x14ac:dyDescent="0.25">
      <c r="G51" s="34"/>
      <c r="H51" s="34"/>
      <c r="I51" s="34"/>
    </row>
    <row r="52" spans="1:9" x14ac:dyDescent="0.25">
      <c r="G52" s="34"/>
      <c r="H52" s="34"/>
      <c r="I52" s="34"/>
    </row>
    <row r="53" spans="1:9" x14ac:dyDescent="0.25">
      <c r="A53" s="34"/>
      <c r="B53" s="34"/>
      <c r="G53" s="34"/>
      <c r="H53" s="34"/>
      <c r="I53" s="34"/>
    </row>
    <row r="54" spans="1:9" x14ac:dyDescent="0.25">
      <c r="A54" s="34"/>
      <c r="B54" s="34"/>
    </row>
    <row r="55" spans="1:9" x14ac:dyDescent="0.25">
      <c r="A55" s="34"/>
      <c r="B55" s="34"/>
    </row>
    <row r="60" spans="1:9" x14ac:dyDescent="0.25">
      <c r="G60" s="36"/>
    </row>
    <row r="61" spans="1:9" x14ac:dyDescent="0.25">
      <c r="G61" s="37"/>
    </row>
    <row r="62" spans="1:9" x14ac:dyDescent="0.25">
      <c r="G62" s="38"/>
    </row>
    <row r="63" spans="1:9" x14ac:dyDescent="0.25">
      <c r="G63" s="36"/>
    </row>
    <row r="64" spans="1:9" x14ac:dyDescent="0.25">
      <c r="G64" s="36"/>
    </row>
    <row r="65" spans="7:7" x14ac:dyDescent="0.25">
      <c r="G65" s="37"/>
    </row>
    <row r="66" spans="7:7" x14ac:dyDescent="0.25">
      <c r="G66" s="38"/>
    </row>
    <row r="67" spans="7:7" x14ac:dyDescent="0.25">
      <c r="G67" s="36"/>
    </row>
    <row r="68" spans="7:7" x14ac:dyDescent="0.25">
      <c r="G68" s="37"/>
    </row>
    <row r="69" spans="7:7" x14ac:dyDescent="0.25">
      <c r="G69" s="38"/>
    </row>
    <row r="70" spans="7:7" x14ac:dyDescent="0.25">
      <c r="G70" s="36"/>
    </row>
    <row r="71" spans="7:7" x14ac:dyDescent="0.25">
      <c r="G71" s="37"/>
    </row>
    <row r="72" spans="7:7" x14ac:dyDescent="0.25">
      <c r="G72" s="38"/>
    </row>
    <row r="73" spans="7:7" x14ac:dyDescent="0.25">
      <c r="G73" s="36"/>
    </row>
  </sheetData>
  <mergeCells count="337">
    <mergeCell ref="H43:I43"/>
    <mergeCell ref="H44:I44"/>
    <mergeCell ref="H45:I45"/>
    <mergeCell ref="H46:I47"/>
    <mergeCell ref="P41:Q41"/>
    <mergeCell ref="P42:Q42"/>
    <mergeCell ref="P43:Q43"/>
    <mergeCell ref="P44:Q44"/>
    <mergeCell ref="P45:Q45"/>
    <mergeCell ref="P46:Q47"/>
    <mergeCell ref="A30:A38"/>
    <mergeCell ref="B30:B31"/>
    <mergeCell ref="C30:C31"/>
    <mergeCell ref="D30:E30"/>
    <mergeCell ref="B37:B38"/>
    <mergeCell ref="C37:C38"/>
    <mergeCell ref="D37:D38"/>
    <mergeCell ref="E37:E38"/>
    <mergeCell ref="H35:I35"/>
    <mergeCell ref="H36:I36"/>
    <mergeCell ref="F37:F38"/>
    <mergeCell ref="G37:G38"/>
    <mergeCell ref="H37:I38"/>
    <mergeCell ref="F30:F31"/>
    <mergeCell ref="G30:I30"/>
    <mergeCell ref="H31:I31"/>
    <mergeCell ref="H32:I32"/>
    <mergeCell ref="B19:B20"/>
    <mergeCell ref="C19:C20"/>
    <mergeCell ref="D19:D20"/>
    <mergeCell ref="E19:E20"/>
    <mergeCell ref="F19:F20"/>
    <mergeCell ref="B2:E2"/>
    <mergeCell ref="A21:A29"/>
    <mergeCell ref="B21:B22"/>
    <mergeCell ref="C21:C22"/>
    <mergeCell ref="D21:E21"/>
    <mergeCell ref="B28:B29"/>
    <mergeCell ref="C28:C29"/>
    <mergeCell ref="D28:D29"/>
    <mergeCell ref="E28:E29"/>
    <mergeCell ref="A12:A20"/>
    <mergeCell ref="B12:B13"/>
    <mergeCell ref="C12:C13"/>
    <mergeCell ref="D12:E12"/>
    <mergeCell ref="A3:A11"/>
    <mergeCell ref="B3:B4"/>
    <mergeCell ref="C3:C4"/>
    <mergeCell ref="D3:E3"/>
    <mergeCell ref="B10:B11"/>
    <mergeCell ref="C10:C11"/>
    <mergeCell ref="D10:D11"/>
    <mergeCell ref="E10:E11"/>
    <mergeCell ref="F2:I2"/>
    <mergeCell ref="G12:I12"/>
    <mergeCell ref="H33:I33"/>
    <mergeCell ref="H34:I34"/>
    <mergeCell ref="H23:I23"/>
    <mergeCell ref="G3:I3"/>
    <mergeCell ref="H4:I4"/>
    <mergeCell ref="H5:I5"/>
    <mergeCell ref="H6:I6"/>
    <mergeCell ref="H7:I7"/>
    <mergeCell ref="H8:I8"/>
    <mergeCell ref="H9:I9"/>
    <mergeCell ref="G10:G11"/>
    <mergeCell ref="H10:I11"/>
    <mergeCell ref="F3:F4"/>
    <mergeCell ref="F10:F11"/>
    <mergeCell ref="H24:I24"/>
    <mergeCell ref="H25:I25"/>
    <mergeCell ref="H26:I26"/>
    <mergeCell ref="H27:I27"/>
    <mergeCell ref="H28:I29"/>
    <mergeCell ref="H13:I13"/>
    <mergeCell ref="F28:F29"/>
    <mergeCell ref="G28:G29"/>
    <mergeCell ref="H17:I17"/>
    <mergeCell ref="H18:I18"/>
    <mergeCell ref="G19:G20"/>
    <mergeCell ref="H19:I20"/>
    <mergeCell ref="F21:F22"/>
    <mergeCell ref="G21:I21"/>
    <mergeCell ref="H22:I22"/>
    <mergeCell ref="F12:F13"/>
    <mergeCell ref="H16:I16"/>
    <mergeCell ref="O37:O38"/>
    <mergeCell ref="O19:O20"/>
    <mergeCell ref="J21:L21"/>
    <mergeCell ref="M21:O21"/>
    <mergeCell ref="J28:J29"/>
    <mergeCell ref="K28:K29"/>
    <mergeCell ref="L28:L29"/>
    <mergeCell ref="M28:M29"/>
    <mergeCell ref="N28:N29"/>
    <mergeCell ref="O28:O29"/>
    <mergeCell ref="J19:J20"/>
    <mergeCell ref="K19:K20"/>
    <mergeCell ref="L19:L20"/>
    <mergeCell ref="M19:M20"/>
    <mergeCell ref="N19:N20"/>
    <mergeCell ref="J37:J38"/>
    <mergeCell ref="K37:K38"/>
    <mergeCell ref="L37:L38"/>
    <mergeCell ref="M37:M38"/>
    <mergeCell ref="N37:N38"/>
    <mergeCell ref="H14:I14"/>
    <mergeCell ref="H15:I15"/>
    <mergeCell ref="R10:R11"/>
    <mergeCell ref="S10:S11"/>
    <mergeCell ref="P2:S2"/>
    <mergeCell ref="P3:Q4"/>
    <mergeCell ref="R3:S3"/>
    <mergeCell ref="P5:Q5"/>
    <mergeCell ref="P6:Q6"/>
    <mergeCell ref="J30:L30"/>
    <mergeCell ref="M30:O30"/>
    <mergeCell ref="J12:L12"/>
    <mergeCell ref="M12:O12"/>
    <mergeCell ref="J3:L3"/>
    <mergeCell ref="M3:O3"/>
    <mergeCell ref="J10:J11"/>
    <mergeCell ref="K10:K11"/>
    <mergeCell ref="P7:Q7"/>
    <mergeCell ref="P8:Q8"/>
    <mergeCell ref="P9:Q9"/>
    <mergeCell ref="P10:Q11"/>
    <mergeCell ref="L10:L11"/>
    <mergeCell ref="M10:M11"/>
    <mergeCell ref="N10:N11"/>
    <mergeCell ref="O10:O11"/>
    <mergeCell ref="J2:O2"/>
    <mergeCell ref="P35:Q35"/>
    <mergeCell ref="P30:Q31"/>
    <mergeCell ref="P12:Q13"/>
    <mergeCell ref="R12:S12"/>
    <mergeCell ref="P14:Q14"/>
    <mergeCell ref="P19:Q20"/>
    <mergeCell ref="R19:R20"/>
    <mergeCell ref="S19:S20"/>
    <mergeCell ref="P21:Q22"/>
    <mergeCell ref="R21:S21"/>
    <mergeCell ref="P23:Q23"/>
    <mergeCell ref="P24:Q24"/>
    <mergeCell ref="P28:Q29"/>
    <mergeCell ref="R28:R29"/>
    <mergeCell ref="S28:S29"/>
    <mergeCell ref="P25:Q25"/>
    <mergeCell ref="P26:Q26"/>
    <mergeCell ref="P27:Q27"/>
    <mergeCell ref="P15:Q15"/>
    <mergeCell ref="P16:Q16"/>
    <mergeCell ref="P17:Q17"/>
    <mergeCell ref="P18:Q18"/>
    <mergeCell ref="P32:Q32"/>
    <mergeCell ref="P33:Q33"/>
    <mergeCell ref="A1:W1"/>
    <mergeCell ref="T30:W31"/>
    <mergeCell ref="T21:W22"/>
    <mergeCell ref="T3:W4"/>
    <mergeCell ref="T12:W13"/>
    <mergeCell ref="P36:Q36"/>
    <mergeCell ref="P37:Q38"/>
    <mergeCell ref="R37:R38"/>
    <mergeCell ref="S37:S38"/>
    <mergeCell ref="R30:S30"/>
    <mergeCell ref="T32:U32"/>
    <mergeCell ref="V32:W32"/>
    <mergeCell ref="T33:U33"/>
    <mergeCell ref="V33:W33"/>
    <mergeCell ref="T34:U34"/>
    <mergeCell ref="V34:W34"/>
    <mergeCell ref="T35:U35"/>
    <mergeCell ref="V35:W35"/>
    <mergeCell ref="T36:U36"/>
    <mergeCell ref="V36:W36"/>
    <mergeCell ref="T37:U38"/>
    <mergeCell ref="V37:W38"/>
    <mergeCell ref="T23:U23"/>
    <mergeCell ref="P34:Q34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L46:L47"/>
    <mergeCell ref="M46:M47"/>
    <mergeCell ref="N46:N47"/>
    <mergeCell ref="O46:O47"/>
    <mergeCell ref="H40:I40"/>
    <mergeCell ref="B46:B47"/>
    <mergeCell ref="C46:C47"/>
    <mergeCell ref="D46:D47"/>
    <mergeCell ref="E46:E47"/>
    <mergeCell ref="F46:F47"/>
    <mergeCell ref="G46:G47"/>
    <mergeCell ref="J46:J47"/>
    <mergeCell ref="K46:K47"/>
    <mergeCell ref="H41:I41"/>
    <mergeCell ref="H42:I42"/>
    <mergeCell ref="T27:U27"/>
    <mergeCell ref="V27:W27"/>
    <mergeCell ref="V42:W42"/>
    <mergeCell ref="V43:W43"/>
    <mergeCell ref="V44:W44"/>
    <mergeCell ref="V45:W45"/>
    <mergeCell ref="V46:W47"/>
    <mergeCell ref="R39:S39"/>
    <mergeCell ref="T39:W40"/>
    <mergeCell ref="T43:U43"/>
    <mergeCell ref="T42:U42"/>
    <mergeCell ref="T41:U41"/>
    <mergeCell ref="V41:W41"/>
    <mergeCell ref="T28:U29"/>
    <mergeCell ref="V28:W29"/>
    <mergeCell ref="R46:R47"/>
    <mergeCell ref="S46:S47"/>
    <mergeCell ref="T46:U47"/>
    <mergeCell ref="T45:U45"/>
    <mergeCell ref="T44:U44"/>
    <mergeCell ref="T18:U18"/>
    <mergeCell ref="V18:W18"/>
    <mergeCell ref="V23:W23"/>
    <mergeCell ref="T24:U24"/>
    <mergeCell ref="V24:W24"/>
    <mergeCell ref="T25:U25"/>
    <mergeCell ref="V25:W25"/>
    <mergeCell ref="T26:U26"/>
    <mergeCell ref="V26:W26"/>
    <mergeCell ref="T19:U20"/>
    <mergeCell ref="V19:W20"/>
    <mergeCell ref="T16:U16"/>
    <mergeCell ref="V16:W16"/>
    <mergeCell ref="T17:U17"/>
    <mergeCell ref="V17:W17"/>
    <mergeCell ref="T5:U5"/>
    <mergeCell ref="V5:W5"/>
    <mergeCell ref="T6:U6"/>
    <mergeCell ref="V6:W6"/>
    <mergeCell ref="T7:U7"/>
    <mergeCell ref="V7:W7"/>
    <mergeCell ref="T8:U8"/>
    <mergeCell ref="V8:W8"/>
    <mergeCell ref="T9:U9"/>
    <mergeCell ref="V9:W9"/>
    <mergeCell ref="X2:AB2"/>
    <mergeCell ref="X3:Y4"/>
    <mergeCell ref="Z3:AA4"/>
    <mergeCell ref="AB3:AB4"/>
    <mergeCell ref="T10:U11"/>
    <mergeCell ref="V10:W11"/>
    <mergeCell ref="T14:U14"/>
    <mergeCell ref="V14:W14"/>
    <mergeCell ref="T15:U15"/>
    <mergeCell ref="V15:W15"/>
    <mergeCell ref="T2:W2"/>
    <mergeCell ref="X5:Y5"/>
    <mergeCell ref="X6:Y6"/>
    <mergeCell ref="X7:Y7"/>
    <mergeCell ref="X8:Y8"/>
    <mergeCell ref="X9:Y9"/>
    <mergeCell ref="Z5:AA5"/>
    <mergeCell ref="Z6:AA6"/>
    <mergeCell ref="Z7:AA7"/>
    <mergeCell ref="Z8:AA8"/>
    <mergeCell ref="Z9:AA9"/>
    <mergeCell ref="X21:Y22"/>
    <mergeCell ref="Z21:AA22"/>
    <mergeCell ref="AB21:AB22"/>
    <mergeCell ref="X18:Y18"/>
    <mergeCell ref="Z18:AA18"/>
    <mergeCell ref="X10:Y11"/>
    <mergeCell ref="Z10:AA11"/>
    <mergeCell ref="X15:Y15"/>
    <mergeCell ref="Z15:AA15"/>
    <mergeCell ref="X16:Y16"/>
    <mergeCell ref="Z16:AA16"/>
    <mergeCell ref="X17:Y17"/>
    <mergeCell ref="Z17:AA17"/>
    <mergeCell ref="AB10:AB11"/>
    <mergeCell ref="X12:Y13"/>
    <mergeCell ref="Z12:AA13"/>
    <mergeCell ref="AB12:AB13"/>
    <mergeCell ref="X14:Y14"/>
    <mergeCell ref="Z14:AA14"/>
    <mergeCell ref="X19:Y20"/>
    <mergeCell ref="Z19:AA20"/>
    <mergeCell ref="AB19:AB20"/>
    <mergeCell ref="X23:Y23"/>
    <mergeCell ref="Z23:AA23"/>
    <mergeCell ref="X24:Y24"/>
    <mergeCell ref="Z24:AA24"/>
    <mergeCell ref="X25:Y25"/>
    <mergeCell ref="Z25:AA25"/>
    <mergeCell ref="X26:Y26"/>
    <mergeCell ref="Z26:AA26"/>
    <mergeCell ref="X27:Y27"/>
    <mergeCell ref="Z27:AA27"/>
    <mergeCell ref="X28:Y29"/>
    <mergeCell ref="Z28:AA29"/>
    <mergeCell ref="AB28:AB29"/>
    <mergeCell ref="X30:Y31"/>
    <mergeCell ref="Z30:AA31"/>
    <mergeCell ref="AB30:AB31"/>
    <mergeCell ref="X32:Y32"/>
    <mergeCell ref="Z32:AA32"/>
    <mergeCell ref="X33:Y33"/>
    <mergeCell ref="Z33:AA33"/>
    <mergeCell ref="X34:Y34"/>
    <mergeCell ref="Z34:AA34"/>
    <mergeCell ref="X35:Y35"/>
    <mergeCell ref="Z35:AA35"/>
    <mergeCell ref="X36:Y36"/>
    <mergeCell ref="Z36:AA36"/>
    <mergeCell ref="X37:Y38"/>
    <mergeCell ref="Z37:AA38"/>
    <mergeCell ref="AB37:AB38"/>
    <mergeCell ref="X44:Y44"/>
    <mergeCell ref="Z44:AA44"/>
    <mergeCell ref="X45:Y45"/>
    <mergeCell ref="Z45:AA45"/>
    <mergeCell ref="X46:Y47"/>
    <mergeCell ref="Z46:AA47"/>
    <mergeCell ref="AB46:AB47"/>
    <mergeCell ref="X39:Y40"/>
    <mergeCell ref="Z39:AA40"/>
    <mergeCell ref="AB39:AB40"/>
    <mergeCell ref="X41:Y41"/>
    <mergeCell ref="Z41:AA41"/>
    <mergeCell ref="X42:Y42"/>
    <mergeCell ref="Z42:AA42"/>
    <mergeCell ref="X43:Y43"/>
    <mergeCell ref="Z43:AA43"/>
  </mergeCells>
  <conditionalFormatting sqref="B5:E5 C6:C9 B14 C14:C18 B23 C23:C27 B32 C32:C36 D14:H14 D23:H23 D32:H32">
    <cfRule type="expression" dxfId="1813" priority="347">
      <formula>#REF!=1</formula>
    </cfRule>
  </conditionalFormatting>
  <conditionalFormatting sqref="B6 D6:E6 B15 B24 B33 D15:H15 D24:H24 D33:H33">
    <cfRule type="expression" dxfId="1812" priority="346">
      <formula>#REF!=2</formula>
    </cfRule>
  </conditionalFormatting>
  <conditionalFormatting sqref="B7 D7:E7 B16 B25 B34 D16:H16 D34:H34 D25:H25">
    <cfRule type="expression" dxfId="1811" priority="345">
      <formula>#REF!=3</formula>
    </cfRule>
  </conditionalFormatting>
  <conditionalFormatting sqref="B8 D8:E8 B17 B26 B35 D17:H17 D26:H26 D35:H35">
    <cfRule type="expression" dxfId="1810" priority="341">
      <formula>#REF!=4</formula>
    </cfRule>
  </conditionalFormatting>
  <conditionalFormatting sqref="B9 D9:E9 B18 B27 B36 D18:H18 D36:H36 D27:H27">
    <cfRule type="expression" dxfId="1809" priority="340">
      <formula>#REF!=5</formula>
    </cfRule>
  </conditionalFormatting>
  <conditionalFormatting sqref="B10:E10 B19:H19 B28:H28 B37:H37">
    <cfRule type="expression" dxfId="1808" priority="339">
      <formula>#REF!=6</formula>
    </cfRule>
  </conditionalFormatting>
  <conditionalFormatting sqref="D4 D13 D22 D31">
    <cfRule type="expression" dxfId="1807" priority="338">
      <formula>#REF!&gt;0</formula>
    </cfRule>
  </conditionalFormatting>
  <conditionalFormatting sqref="E4 E13 E22 E31">
    <cfRule type="expression" dxfId="1806" priority="337">
      <formula>#REF!&gt;0</formula>
    </cfRule>
  </conditionalFormatting>
  <conditionalFormatting sqref="F5:H5">
    <cfRule type="expression" dxfId="1805" priority="297">
      <formula>#REF!=1</formula>
    </cfRule>
  </conditionalFormatting>
  <conditionalFormatting sqref="F6:H6">
    <cfRule type="expression" dxfId="1804" priority="296">
      <formula>#REF!=2</formula>
    </cfRule>
  </conditionalFormatting>
  <conditionalFormatting sqref="F7:H7">
    <cfRule type="expression" dxfId="1803" priority="295">
      <formula>#REF!=3</formula>
    </cfRule>
  </conditionalFormatting>
  <conditionalFormatting sqref="F8:H8">
    <cfRule type="expression" dxfId="1802" priority="294">
      <formula>#REF!=4</formula>
    </cfRule>
  </conditionalFormatting>
  <conditionalFormatting sqref="F9:H9">
    <cfRule type="expression" dxfId="1801" priority="293">
      <formula>#REF!=5</formula>
    </cfRule>
  </conditionalFormatting>
  <conditionalFormatting sqref="F10:G10">
    <cfRule type="expression" dxfId="1800" priority="292">
      <formula>#REF!=6</formula>
    </cfRule>
  </conditionalFormatting>
  <conditionalFormatting sqref="G4 G13 G22 G31">
    <cfRule type="expression" dxfId="1799" priority="291">
      <formula>#REF!&gt;0</formula>
    </cfRule>
  </conditionalFormatting>
  <conditionalFormatting sqref="H4 H13 H22 H31">
    <cfRule type="expression" dxfId="1798" priority="290">
      <formula>#REF!&gt;0</formula>
    </cfRule>
  </conditionalFormatting>
  <conditionalFormatting sqref="H10">
    <cfRule type="expression" dxfId="1797" priority="253">
      <formula>#REF!=6</formula>
    </cfRule>
  </conditionalFormatting>
  <conditionalFormatting sqref="K5:N5 L6:L9">
    <cfRule type="expression" dxfId="1796" priority="251">
      <formula>$C$26=1</formula>
    </cfRule>
  </conditionalFormatting>
  <conditionalFormatting sqref="K7">
    <cfRule type="expression" dxfId="1795" priority="250">
      <formula>$C$26=3</formula>
    </cfRule>
  </conditionalFormatting>
  <conditionalFormatting sqref="K9 N9">
    <cfRule type="expression" dxfId="1794" priority="249">
      <formula>$C$26=5</formula>
    </cfRule>
  </conditionalFormatting>
  <conditionalFormatting sqref="M10 K10">
    <cfRule type="expression" dxfId="1793" priority="248">
      <formula>$C$26=6</formula>
    </cfRule>
  </conditionalFormatting>
  <conditionalFormatting sqref="K6">
    <cfRule type="expression" dxfId="1792" priority="247">
      <formula>$C$26=2</formula>
    </cfRule>
  </conditionalFormatting>
  <conditionalFormatting sqref="K8">
    <cfRule type="expression" dxfId="1791" priority="246">
      <formula>$C$26=4</formula>
    </cfRule>
  </conditionalFormatting>
  <conditionalFormatting sqref="J4">
    <cfRule type="expression" dxfId="1790" priority="245">
      <formula>AND($C$29=$G$26,$K$26&lt;130)</formula>
    </cfRule>
  </conditionalFormatting>
  <conditionalFormatting sqref="K4">
    <cfRule type="expression" dxfId="1789" priority="244">
      <formula>AND($D$29=$G$26,$K$26&lt;130)</formula>
    </cfRule>
  </conditionalFormatting>
  <conditionalFormatting sqref="L4">
    <cfRule type="expression" dxfId="1788" priority="243">
      <formula>AND($E$29=$G$26,$K$26&lt;130)</formula>
    </cfRule>
  </conditionalFormatting>
  <conditionalFormatting sqref="M4">
    <cfRule type="expression" dxfId="1787" priority="242">
      <formula>AND($F$29=$G$26,$K$26&gt;=130)</formula>
    </cfRule>
  </conditionalFormatting>
  <conditionalFormatting sqref="N4">
    <cfRule type="expression" dxfId="1786" priority="241">
      <formula>AND($G$29=$G$26,$K$26&gt;=130)</formula>
    </cfRule>
  </conditionalFormatting>
  <conditionalFormatting sqref="O4">
    <cfRule type="expression" dxfId="1785" priority="240">
      <formula>AND($H$29=$G$26,$K$26&gt;=130)</formula>
    </cfRule>
  </conditionalFormatting>
  <conditionalFormatting sqref="K14:N14 L15:L18">
    <cfRule type="expression" dxfId="1784" priority="239">
      <formula>$C$26=1</formula>
    </cfRule>
  </conditionalFormatting>
  <conditionalFormatting sqref="K16 N16">
    <cfRule type="expression" dxfId="1783" priority="238">
      <formula>$C$26=3</formula>
    </cfRule>
  </conditionalFormatting>
  <conditionalFormatting sqref="K18 M18:N18">
    <cfRule type="expression" dxfId="1782" priority="237">
      <formula>$C$26=5</formula>
    </cfRule>
  </conditionalFormatting>
  <conditionalFormatting sqref="M19 K19">
    <cfRule type="expression" dxfId="1781" priority="236">
      <formula>$C$26=6</formula>
    </cfRule>
  </conditionalFormatting>
  <conditionalFormatting sqref="K15 N15">
    <cfRule type="expression" dxfId="1780" priority="235">
      <formula>$C$26=2</formula>
    </cfRule>
  </conditionalFormatting>
  <conditionalFormatting sqref="K17 N17">
    <cfRule type="expression" dxfId="1779" priority="234">
      <formula>$C$26=4</formula>
    </cfRule>
  </conditionalFormatting>
  <conditionalFormatting sqref="K23">
    <cfRule type="expression" dxfId="1778" priority="227">
      <formula>$C$26=1</formula>
    </cfRule>
  </conditionalFormatting>
  <conditionalFormatting sqref="K25">
    <cfRule type="expression" dxfId="1777" priority="226">
      <formula>$C$26=3</formula>
    </cfRule>
  </conditionalFormatting>
  <conditionalFormatting sqref="K27">
    <cfRule type="expression" dxfId="1776" priority="225">
      <formula>$C$26=5</formula>
    </cfRule>
  </conditionalFormatting>
  <conditionalFormatting sqref="K28">
    <cfRule type="expression" dxfId="1775" priority="224">
      <formula>$C$26=6</formula>
    </cfRule>
  </conditionalFormatting>
  <conditionalFormatting sqref="K24">
    <cfRule type="expression" dxfId="1774" priority="223">
      <formula>$C$26=2</formula>
    </cfRule>
  </conditionalFormatting>
  <conditionalFormatting sqref="K26">
    <cfRule type="expression" dxfId="1773" priority="222">
      <formula>$C$26=4</formula>
    </cfRule>
  </conditionalFormatting>
  <conditionalFormatting sqref="M37 K37">
    <cfRule type="expression" dxfId="1772" priority="212">
      <formula>$C$26=6</formula>
    </cfRule>
  </conditionalFormatting>
  <conditionalFormatting sqref="J13">
    <cfRule type="expression" dxfId="1771" priority="203">
      <formula>AND($C$29=$G$26,$K$26&lt;130)</formula>
    </cfRule>
  </conditionalFormatting>
  <conditionalFormatting sqref="K13">
    <cfRule type="expression" dxfId="1770" priority="202">
      <formula>AND($D$29=$G$26,$K$26&lt;130)</formula>
    </cfRule>
  </conditionalFormatting>
  <conditionalFormatting sqref="L13">
    <cfRule type="expression" dxfId="1769" priority="201">
      <formula>AND($E$29=$G$26,$K$26&lt;130)</formula>
    </cfRule>
  </conditionalFormatting>
  <conditionalFormatting sqref="M13">
    <cfRule type="expression" dxfId="1768" priority="200">
      <formula>AND($F$29=$G$26,$K$26&gt;=130)</formula>
    </cfRule>
  </conditionalFormatting>
  <conditionalFormatting sqref="N13">
    <cfRule type="expression" dxfId="1767" priority="199">
      <formula>AND($G$29=$G$26,$K$26&gt;=130)</formula>
    </cfRule>
  </conditionalFormatting>
  <conditionalFormatting sqref="O13">
    <cfRule type="expression" dxfId="1766" priority="198">
      <formula>AND($H$29=$G$26,$K$26&gt;=130)</formula>
    </cfRule>
  </conditionalFormatting>
  <conditionalFormatting sqref="J22">
    <cfRule type="expression" dxfId="1765" priority="197">
      <formula>AND($C$29=$G$26,$K$26&lt;130)</formula>
    </cfRule>
  </conditionalFormatting>
  <conditionalFormatting sqref="K22">
    <cfRule type="expression" dxfId="1764" priority="196">
      <formula>AND($D$29=$G$26,$K$26&lt;130)</formula>
    </cfRule>
  </conditionalFormatting>
  <conditionalFormatting sqref="L22">
    <cfRule type="expression" dxfId="1763" priority="195">
      <formula>AND($E$29=$G$26,$K$26&lt;130)</formula>
    </cfRule>
  </conditionalFormatting>
  <conditionalFormatting sqref="M22">
    <cfRule type="expression" dxfId="1762" priority="194">
      <formula>AND($F$29=$G$26,$K$26&gt;=130)</formula>
    </cfRule>
  </conditionalFormatting>
  <conditionalFormatting sqref="N22">
    <cfRule type="expression" dxfId="1761" priority="193">
      <formula>AND($G$29=$G$26,$K$26&gt;=130)</formula>
    </cfRule>
  </conditionalFormatting>
  <conditionalFormatting sqref="O22">
    <cfRule type="expression" dxfId="1760" priority="192">
      <formula>AND($H$29=$G$26,$K$26&gt;=130)</formula>
    </cfRule>
  </conditionalFormatting>
  <conditionalFormatting sqref="J31">
    <cfRule type="expression" dxfId="1759" priority="191">
      <formula>AND($C$29=$G$26,$K$26&lt;130)</formula>
    </cfRule>
  </conditionalFormatting>
  <conditionalFormatting sqref="K31">
    <cfRule type="expression" dxfId="1758" priority="190">
      <formula>AND($D$29=$G$26,$K$26&lt;130)</formula>
    </cfRule>
  </conditionalFormatting>
  <conditionalFormatting sqref="L31">
    <cfRule type="expression" dxfId="1757" priority="189">
      <formula>AND($E$29=$G$26,$K$26&lt;130)</formula>
    </cfRule>
  </conditionalFormatting>
  <conditionalFormatting sqref="M31">
    <cfRule type="expression" dxfId="1756" priority="188">
      <formula>AND($F$29=$G$26,$K$26&gt;=130)</formula>
    </cfRule>
  </conditionalFormatting>
  <conditionalFormatting sqref="N31">
    <cfRule type="expression" dxfId="1755" priority="187">
      <formula>AND($G$29=$G$26,$K$26&gt;=130)</formula>
    </cfRule>
  </conditionalFormatting>
  <conditionalFormatting sqref="O31">
    <cfRule type="expression" dxfId="1754" priority="186">
      <formula>AND($H$29=$G$26,$K$26&gt;=130)</formula>
    </cfRule>
  </conditionalFormatting>
  <conditionalFormatting sqref="M6">
    <cfRule type="expression" dxfId="1753" priority="185">
      <formula>$C$26=1</formula>
    </cfRule>
  </conditionalFormatting>
  <conditionalFormatting sqref="M7">
    <cfRule type="expression" dxfId="1752" priority="184">
      <formula>$C$26=1</formula>
    </cfRule>
  </conditionalFormatting>
  <conditionalFormatting sqref="M8">
    <cfRule type="expression" dxfId="1751" priority="183">
      <formula>$C$26=1</formula>
    </cfRule>
  </conditionalFormatting>
  <conditionalFormatting sqref="N6">
    <cfRule type="expression" dxfId="1750" priority="182">
      <formula>$C$26=1</formula>
    </cfRule>
  </conditionalFormatting>
  <conditionalFormatting sqref="N7">
    <cfRule type="expression" dxfId="1749" priority="181">
      <formula>$C$26=1</formula>
    </cfRule>
  </conditionalFormatting>
  <conditionalFormatting sqref="N8">
    <cfRule type="expression" dxfId="1748" priority="180">
      <formula>$C$26=1</formula>
    </cfRule>
  </conditionalFormatting>
  <conditionalFormatting sqref="P5:S9">
    <cfRule type="expression" dxfId="1747" priority="179">
      <formula>$C$42=1</formula>
    </cfRule>
  </conditionalFormatting>
  <conditionalFormatting sqref="S10">
    <cfRule type="expression" dxfId="1746" priority="173">
      <formula>$C$26=5</formula>
    </cfRule>
  </conditionalFormatting>
  <conditionalFormatting sqref="R10:S10 P10">
    <cfRule type="expression" dxfId="1745" priority="171">
      <formula>$C$42=6</formula>
    </cfRule>
  </conditionalFormatting>
  <conditionalFormatting sqref="P32:S32">
    <cfRule type="expression" dxfId="1744" priority="152">
      <formula>$C$42=1</formula>
    </cfRule>
  </conditionalFormatting>
  <conditionalFormatting sqref="P34:S35">
    <cfRule type="expression" dxfId="1743" priority="151">
      <formula>$C$42=3</formula>
    </cfRule>
  </conditionalFormatting>
  <conditionalFormatting sqref="P36:S36">
    <cfRule type="expression" dxfId="1742" priority="150">
      <formula>$C$42=5</formula>
    </cfRule>
  </conditionalFormatting>
  <conditionalFormatting sqref="P33:S33">
    <cfRule type="expression" dxfId="1741" priority="149">
      <formula>$C$42=2</formula>
    </cfRule>
  </conditionalFormatting>
  <conditionalFormatting sqref="S36:S37">
    <cfRule type="expression" dxfId="1740" priority="146">
      <formula>$C$26=5</formula>
    </cfRule>
  </conditionalFormatting>
  <conditionalFormatting sqref="R37:S37 P37">
    <cfRule type="expression" dxfId="1739" priority="144">
      <formula>$C$42=6</formula>
    </cfRule>
  </conditionalFormatting>
  <conditionalFormatting sqref="P14:S18">
    <cfRule type="expression" dxfId="1738" priority="95">
      <formula>$C$42=1</formula>
    </cfRule>
  </conditionalFormatting>
  <conditionalFormatting sqref="S19">
    <cfRule type="expression" dxfId="1737" priority="94">
      <formula>$C$26=5</formula>
    </cfRule>
  </conditionalFormatting>
  <conditionalFormatting sqref="R19:S19 P19">
    <cfRule type="expression" dxfId="1736" priority="93">
      <formula>$C$42=6</formula>
    </cfRule>
  </conditionalFormatting>
  <conditionalFormatting sqref="M15">
    <cfRule type="expression" dxfId="1735" priority="92">
      <formula>$C$26=1</formula>
    </cfRule>
  </conditionalFormatting>
  <conditionalFormatting sqref="M16">
    <cfRule type="expression" dxfId="1734" priority="91">
      <formula>$C$26=1</formula>
    </cfRule>
  </conditionalFormatting>
  <conditionalFormatting sqref="M17">
    <cfRule type="expression" dxfId="1733" priority="90">
      <formula>$C$26=1</formula>
    </cfRule>
  </conditionalFormatting>
  <conditionalFormatting sqref="L23:N23 L24:L27">
    <cfRule type="expression" dxfId="1732" priority="88">
      <formula>$C$26=1</formula>
    </cfRule>
  </conditionalFormatting>
  <conditionalFormatting sqref="M27:N27">
    <cfRule type="expression" dxfId="1731" priority="86">
      <formula>$C$26=5</formula>
    </cfRule>
  </conditionalFormatting>
  <conditionalFormatting sqref="M28">
    <cfRule type="expression" dxfId="1730" priority="85">
      <formula>$C$26=6</formula>
    </cfRule>
  </conditionalFormatting>
  <conditionalFormatting sqref="N24:N26">
    <cfRule type="expression" dxfId="1729" priority="84">
      <formula>$C$26=2</formula>
    </cfRule>
  </conditionalFormatting>
  <conditionalFormatting sqref="M24">
    <cfRule type="expression" dxfId="1728" priority="82">
      <formula>$C$26=1</formula>
    </cfRule>
  </conditionalFormatting>
  <conditionalFormatting sqref="M25">
    <cfRule type="expression" dxfId="1727" priority="81">
      <formula>$C$26=1</formula>
    </cfRule>
  </conditionalFormatting>
  <conditionalFormatting sqref="M26">
    <cfRule type="expression" dxfId="1726" priority="80">
      <formula>$C$26=1</formula>
    </cfRule>
  </conditionalFormatting>
  <conditionalFormatting sqref="P23:Q23">
    <cfRule type="expression" dxfId="1725" priority="76">
      <formula>$C$42=1</formula>
    </cfRule>
  </conditionalFormatting>
  <conditionalFormatting sqref="P24:Q24">
    <cfRule type="expression" dxfId="1724" priority="75">
      <formula>$C$42=2</formula>
    </cfRule>
  </conditionalFormatting>
  <conditionalFormatting sqref="P25:Q25">
    <cfRule type="expression" dxfId="1723" priority="74">
      <formula>$C$42=3</formula>
    </cfRule>
  </conditionalFormatting>
  <conditionalFormatting sqref="P26:Q26">
    <cfRule type="expression" dxfId="1722" priority="73">
      <formula>$C$42=4</formula>
    </cfRule>
  </conditionalFormatting>
  <conditionalFormatting sqref="P27:Q27">
    <cfRule type="expression" dxfId="1721" priority="72">
      <formula>$C$42=5</formula>
    </cfRule>
  </conditionalFormatting>
  <conditionalFormatting sqref="P28">
    <cfRule type="expression" dxfId="1720" priority="71">
      <formula>$C$42=6</formula>
    </cfRule>
  </conditionalFormatting>
  <conditionalFormatting sqref="R23">
    <cfRule type="expression" dxfId="1719" priority="70">
      <formula>$C$42=1</formula>
    </cfRule>
  </conditionalFormatting>
  <conditionalFormatting sqref="R24">
    <cfRule type="expression" dxfId="1718" priority="69">
      <formula>$C$42=2</formula>
    </cfRule>
  </conditionalFormatting>
  <conditionalFormatting sqref="R25">
    <cfRule type="expression" dxfId="1717" priority="68">
      <formula>$C$42=3</formula>
    </cfRule>
  </conditionalFormatting>
  <conditionalFormatting sqref="R26">
    <cfRule type="expression" dxfId="1716" priority="67">
      <formula>$C$42=4</formula>
    </cfRule>
  </conditionalFormatting>
  <conditionalFormatting sqref="R27">
    <cfRule type="expression" dxfId="1715" priority="66">
      <formula>$C$42=5</formula>
    </cfRule>
  </conditionalFormatting>
  <conditionalFormatting sqref="R28">
    <cfRule type="expression" dxfId="1714" priority="65">
      <formula>$C$42=6</formula>
    </cfRule>
  </conditionalFormatting>
  <conditionalFormatting sqref="S23">
    <cfRule type="expression" dxfId="1713" priority="63">
      <formula>$C$42=1</formula>
    </cfRule>
  </conditionalFormatting>
  <conditionalFormatting sqref="S25">
    <cfRule type="expression" dxfId="1712" priority="62">
      <formula>$C$42=3</formula>
    </cfRule>
  </conditionalFormatting>
  <conditionalFormatting sqref="S27">
    <cfRule type="expression" dxfId="1711" priority="61">
      <formula>$C$42=5</formula>
    </cfRule>
  </conditionalFormatting>
  <conditionalFormatting sqref="S24">
    <cfRule type="expression" dxfId="1710" priority="60">
      <formula>$C$42=2</formula>
    </cfRule>
  </conditionalFormatting>
  <conditionalFormatting sqref="S27:S28">
    <cfRule type="expression" dxfId="1709" priority="59">
      <formula>$C$26=5</formula>
    </cfRule>
  </conditionalFormatting>
  <conditionalFormatting sqref="S26">
    <cfRule type="expression" dxfId="1708" priority="58">
      <formula>$C$42=4</formula>
    </cfRule>
  </conditionalFormatting>
  <conditionalFormatting sqref="S28">
    <cfRule type="expression" dxfId="1707" priority="57">
      <formula>$C$42=6</formula>
    </cfRule>
  </conditionalFormatting>
  <conditionalFormatting sqref="B41">
    <cfRule type="expression" dxfId="1706" priority="56">
      <formula>#REF!=1</formula>
    </cfRule>
  </conditionalFormatting>
  <conditionalFormatting sqref="B42">
    <cfRule type="expression" dxfId="1705" priority="55">
      <formula>#REF!=2</formula>
    </cfRule>
  </conditionalFormatting>
  <conditionalFormatting sqref="B43">
    <cfRule type="expression" dxfId="1704" priority="54">
      <formula>#REF!=3</formula>
    </cfRule>
  </conditionalFormatting>
  <conditionalFormatting sqref="B44">
    <cfRule type="expression" dxfId="1703" priority="53">
      <formula>#REF!=4</formula>
    </cfRule>
  </conditionalFormatting>
  <conditionalFormatting sqref="B45">
    <cfRule type="expression" dxfId="1702" priority="52">
      <formula>#REF!=5</formula>
    </cfRule>
  </conditionalFormatting>
  <conditionalFormatting sqref="B46">
    <cfRule type="expression" dxfId="1701" priority="51">
      <formula>#REF!=6</formula>
    </cfRule>
  </conditionalFormatting>
  <conditionalFormatting sqref="D40">
    <cfRule type="expression" dxfId="1700" priority="50">
      <formula>#REF!&gt;0</formula>
    </cfRule>
  </conditionalFormatting>
  <conditionalFormatting sqref="E40">
    <cfRule type="expression" dxfId="1699" priority="49">
      <formula>#REF!&gt;0</formula>
    </cfRule>
  </conditionalFormatting>
  <conditionalFormatting sqref="G40">
    <cfRule type="expression" dxfId="1698" priority="48">
      <formula>#REF!&gt;0</formula>
    </cfRule>
  </conditionalFormatting>
  <conditionalFormatting sqref="H40">
    <cfRule type="expression" dxfId="1697" priority="47">
      <formula>#REF!&gt;0</formula>
    </cfRule>
  </conditionalFormatting>
  <conditionalFormatting sqref="J40">
    <cfRule type="expression" dxfId="1696" priority="45">
      <formula>AND($C$29=$G$26,$K$26&lt;130)</formula>
    </cfRule>
  </conditionalFormatting>
  <conditionalFormatting sqref="K40">
    <cfRule type="expression" dxfId="1695" priority="44">
      <formula>AND($D$29=$G$26,$K$26&lt;130)</formula>
    </cfRule>
  </conditionalFormatting>
  <conditionalFormatting sqref="L40">
    <cfRule type="expression" dxfId="1694" priority="43">
      <formula>AND($E$29=$G$26,$K$26&lt;130)</formula>
    </cfRule>
  </conditionalFormatting>
  <conditionalFormatting sqref="M40">
    <cfRule type="expression" dxfId="1693" priority="42">
      <formula>AND($F$29=$G$26,$K$26&gt;=130)</formula>
    </cfRule>
  </conditionalFormatting>
  <conditionalFormatting sqref="N40">
    <cfRule type="expression" dxfId="1692" priority="41">
      <formula>AND($G$29=$G$26,$K$26&gt;=130)</formula>
    </cfRule>
  </conditionalFormatting>
  <conditionalFormatting sqref="O40">
    <cfRule type="expression" dxfId="1691" priority="40">
      <formula>AND($H$29=$G$26,$K$26&gt;=130)</formula>
    </cfRule>
  </conditionalFormatting>
  <conditionalFormatting sqref="C41:C45">
    <cfRule type="expression" dxfId="1690" priority="19">
      <formula>#REF!=1</formula>
    </cfRule>
  </conditionalFormatting>
  <conditionalFormatting sqref="C46">
    <cfRule type="expression" dxfId="1689" priority="18">
      <formula>#REF!=6</formula>
    </cfRule>
  </conditionalFormatting>
  <conditionalFormatting sqref="F41">
    <cfRule type="expression" dxfId="1688" priority="17">
      <formula>#REF!=1</formula>
    </cfRule>
  </conditionalFormatting>
  <conditionalFormatting sqref="F42">
    <cfRule type="expression" dxfId="1687" priority="16">
      <formula>#REF!=2</formula>
    </cfRule>
  </conditionalFormatting>
  <conditionalFormatting sqref="F43">
    <cfRule type="expression" dxfId="1686" priority="15">
      <formula>#REF!=3</formula>
    </cfRule>
  </conditionalFormatting>
  <conditionalFormatting sqref="F44">
    <cfRule type="expression" dxfId="1685" priority="14">
      <formula>#REF!=4</formula>
    </cfRule>
  </conditionalFormatting>
  <conditionalFormatting sqref="F45">
    <cfRule type="expression" dxfId="1684" priority="13">
      <formula>#REF!=5</formula>
    </cfRule>
  </conditionalFormatting>
  <conditionalFormatting sqref="F46">
    <cfRule type="expression" dxfId="1683" priority="12">
      <formula>#REF!=6</formula>
    </cfRule>
  </conditionalFormatting>
  <conditionalFormatting sqref="H41">
    <cfRule type="expression" dxfId="1682" priority="11">
      <formula>#REF!=1</formula>
    </cfRule>
  </conditionalFormatting>
  <conditionalFormatting sqref="H42">
    <cfRule type="expression" dxfId="1681" priority="10">
      <formula>#REF!=2</formula>
    </cfRule>
  </conditionalFormatting>
  <conditionalFormatting sqref="H43">
    <cfRule type="expression" dxfId="1680" priority="9">
      <formula>#REF!=3</formula>
    </cfRule>
  </conditionalFormatting>
  <conditionalFormatting sqref="H44">
    <cfRule type="expression" dxfId="1679" priority="8">
      <formula>#REF!=4</formula>
    </cfRule>
  </conditionalFormatting>
  <conditionalFormatting sqref="H45">
    <cfRule type="expression" dxfId="1678" priority="7">
      <formula>#REF!=5</formula>
    </cfRule>
  </conditionalFormatting>
  <conditionalFormatting sqref="H46">
    <cfRule type="expression" dxfId="1677" priority="6">
      <formula>#REF!=6</formula>
    </cfRule>
  </conditionalFormatting>
  <conditionalFormatting sqref="P41:Q41">
    <cfRule type="expression" dxfId="1676" priority="5">
      <formula>$C$42=1</formula>
    </cfRule>
  </conditionalFormatting>
  <conditionalFormatting sqref="P43:Q44">
    <cfRule type="expression" dxfId="1675" priority="4">
      <formula>$C$42=3</formula>
    </cfRule>
  </conditionalFormatting>
  <conditionalFormatting sqref="P45:Q45">
    <cfRule type="expression" dxfId="1674" priority="3">
      <formula>$C$42=5</formula>
    </cfRule>
  </conditionalFormatting>
  <conditionalFormatting sqref="P42:Q42">
    <cfRule type="expression" dxfId="1673" priority="2">
      <formula>$C$42=2</formula>
    </cfRule>
  </conditionalFormatting>
  <conditionalFormatting sqref="P46">
    <cfRule type="expression" dxfId="1672" priority="1">
      <formula>$C$42=6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D47"/>
  <sheetViews>
    <sheetView topLeftCell="I31" zoomScale="115" zoomScaleNormal="115" workbookViewId="0">
      <selection activeCell="S46" sqref="P41:S47"/>
    </sheetView>
  </sheetViews>
  <sheetFormatPr baseColWidth="10" defaultRowHeight="15" x14ac:dyDescent="0.25"/>
  <cols>
    <col min="2" max="2" width="20.7109375" customWidth="1"/>
  </cols>
  <sheetData>
    <row r="1" spans="1:30" ht="26.25" thickBot="1" x14ac:dyDescent="0.3">
      <c r="A1" s="511" t="s">
        <v>108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180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116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172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4566.92</v>
      </c>
      <c r="D5" s="1">
        <v>886.75</v>
      </c>
      <c r="E5" s="1">
        <v>1612.27</v>
      </c>
      <c r="F5" s="1">
        <v>2451.67</v>
      </c>
      <c r="G5" s="1">
        <v>936.3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308">
        <v>0</v>
      </c>
      <c r="U5" s="309"/>
      <c r="V5" s="308" t="s">
        <v>122</v>
      </c>
      <c r="W5" s="309"/>
      <c r="X5" s="22">
        <v>-0.38</v>
      </c>
      <c r="Y5" s="308">
        <v>4959</v>
      </c>
      <c r="Z5" s="309"/>
      <c r="AA5" s="308">
        <v>118291</v>
      </c>
      <c r="AB5" s="309"/>
    </row>
    <row r="6" spans="1:30" ht="15.75" thickBot="1" x14ac:dyDescent="0.3">
      <c r="A6" s="491"/>
      <c r="B6" s="14" t="s">
        <v>21</v>
      </c>
      <c r="C6" s="39">
        <v>5397.27</v>
      </c>
      <c r="D6" s="10">
        <v>1047.98</v>
      </c>
      <c r="E6" s="1">
        <v>1612.27</v>
      </c>
      <c r="F6" s="1">
        <v>2897.43</v>
      </c>
      <c r="G6" s="1">
        <v>1106.53</v>
      </c>
      <c r="H6" s="199">
        <v>1703.36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308">
        <v>0.15</v>
      </c>
      <c r="U6" s="309"/>
      <c r="V6" s="308" t="s">
        <v>122</v>
      </c>
      <c r="W6" s="309"/>
      <c r="X6" s="22">
        <v>-0.3</v>
      </c>
      <c r="Y6" s="308">
        <v>1513</v>
      </c>
      <c r="Z6" s="309"/>
      <c r="AA6" s="308">
        <v>26669</v>
      </c>
      <c r="AB6" s="309"/>
    </row>
    <row r="7" spans="1:30" ht="15.75" thickBot="1" x14ac:dyDescent="0.3">
      <c r="A7" s="491"/>
      <c r="B7" s="14" t="s">
        <v>24</v>
      </c>
      <c r="C7" s="39">
        <v>7888.32</v>
      </c>
      <c r="D7" s="1">
        <v>1531.66</v>
      </c>
      <c r="E7" s="1">
        <v>1612.27</v>
      </c>
      <c r="F7" s="1">
        <v>4234.71</v>
      </c>
      <c r="G7" s="1">
        <v>1617.24</v>
      </c>
      <c r="H7" s="199">
        <v>1704.36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308">
        <v>0.2</v>
      </c>
      <c r="U7" s="309"/>
      <c r="V7" s="308" t="s">
        <v>122</v>
      </c>
      <c r="W7" s="309"/>
      <c r="X7" s="22">
        <v>-0.1</v>
      </c>
      <c r="Y7" s="308">
        <v>0</v>
      </c>
      <c r="Z7" s="309"/>
      <c r="AA7" s="308">
        <v>3051</v>
      </c>
      <c r="AB7" s="309"/>
    </row>
    <row r="8" spans="1:30" ht="15.75" thickBot="1" x14ac:dyDescent="0.3">
      <c r="A8" s="491"/>
      <c r="B8" s="14" t="s">
        <v>22</v>
      </c>
      <c r="C8" s="39">
        <v>8303.49</v>
      </c>
      <c r="D8" s="1">
        <v>1612.27</v>
      </c>
      <c r="E8" s="1">
        <v>1612.27</v>
      </c>
      <c r="F8" s="1">
        <v>4457.59</v>
      </c>
      <c r="G8" s="1">
        <v>1702.36</v>
      </c>
      <c r="H8" s="199">
        <v>1705.36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308">
        <v>0.25</v>
      </c>
      <c r="U8" s="309"/>
      <c r="V8" s="308" t="s">
        <v>122</v>
      </c>
      <c r="W8" s="309"/>
      <c r="X8" s="22">
        <v>0</v>
      </c>
      <c r="Y8" s="296">
        <v>6472</v>
      </c>
      <c r="Z8" s="297"/>
      <c r="AA8" s="296">
        <v>148011</v>
      </c>
      <c r="AB8" s="297"/>
    </row>
    <row r="9" spans="1:30" ht="15.75" thickBot="1" x14ac:dyDescent="0.3">
      <c r="A9" s="491"/>
      <c r="B9" s="21" t="s">
        <v>23</v>
      </c>
      <c r="C9" s="39">
        <v>12455.24</v>
      </c>
      <c r="D9" s="22">
        <v>2418.63</v>
      </c>
      <c r="E9" s="22">
        <v>2418.63</v>
      </c>
      <c r="F9" s="22">
        <v>6686.39</v>
      </c>
      <c r="G9" s="22">
        <v>2553.54</v>
      </c>
      <c r="H9" s="308">
        <v>2553.54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308">
        <v>0.3</v>
      </c>
      <c r="U9" s="309"/>
      <c r="V9" s="308" t="s">
        <v>122</v>
      </c>
      <c r="W9" s="309"/>
      <c r="X9" s="22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13285.58</v>
      </c>
      <c r="D10" s="215">
        <v>2579.5300000000002</v>
      </c>
      <c r="E10" s="215">
        <v>2579.5300000000002</v>
      </c>
      <c r="F10" s="215">
        <v>7132.14</v>
      </c>
      <c r="G10" s="215">
        <v>2723.78</v>
      </c>
      <c r="H10" s="207">
        <v>2723.78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0.35</v>
      </c>
      <c r="U10" s="297"/>
      <c r="V10" s="296" t="s">
        <v>122</v>
      </c>
      <c r="W10" s="297"/>
      <c r="X10" s="310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311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116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4566.92</v>
      </c>
      <c r="D14" s="1">
        <v>886.75</v>
      </c>
      <c r="E14" s="1">
        <v>1612.27</v>
      </c>
      <c r="F14" s="1">
        <v>2451.67</v>
      </c>
      <c r="G14" s="1">
        <v>936.3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308">
        <v>0</v>
      </c>
      <c r="U14" s="309"/>
      <c r="V14" s="308" t="s">
        <v>122</v>
      </c>
      <c r="W14" s="309"/>
      <c r="X14" s="22">
        <v>-0.38</v>
      </c>
      <c r="Y14" s="308">
        <v>4959</v>
      </c>
      <c r="Z14" s="309"/>
      <c r="AA14" s="308">
        <v>118291</v>
      </c>
      <c r="AB14" s="309"/>
    </row>
    <row r="15" spans="1:30" ht="15.75" thickBot="1" x14ac:dyDescent="0.3">
      <c r="A15" s="491"/>
      <c r="B15" s="14" t="s">
        <v>21</v>
      </c>
      <c r="C15" s="39">
        <v>5397.27</v>
      </c>
      <c r="D15" s="10">
        <v>1047.98</v>
      </c>
      <c r="E15" s="1">
        <v>1612.27</v>
      </c>
      <c r="F15" s="1">
        <v>2897.43</v>
      </c>
      <c r="G15" s="1">
        <v>1106.53</v>
      </c>
      <c r="H15" s="199">
        <v>1703.36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308">
        <v>0.15</v>
      </c>
      <c r="U15" s="309"/>
      <c r="V15" s="308" t="s">
        <v>122</v>
      </c>
      <c r="W15" s="309"/>
      <c r="X15" s="22">
        <v>-0.3</v>
      </c>
      <c r="Y15" s="308">
        <v>1513</v>
      </c>
      <c r="Z15" s="309"/>
      <c r="AA15" s="308">
        <v>26669</v>
      </c>
      <c r="AB15" s="309"/>
    </row>
    <row r="16" spans="1:30" ht="15.75" thickBot="1" x14ac:dyDescent="0.3">
      <c r="A16" s="491"/>
      <c r="B16" s="14" t="s">
        <v>24</v>
      </c>
      <c r="C16" s="39">
        <v>7888.32</v>
      </c>
      <c r="D16" s="1">
        <v>1531.66</v>
      </c>
      <c r="E16" s="1">
        <v>1612.27</v>
      </c>
      <c r="F16" s="1">
        <v>4234.71</v>
      </c>
      <c r="G16" s="1">
        <v>1617.24</v>
      </c>
      <c r="H16" s="199">
        <v>1704.36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308">
        <v>0.2</v>
      </c>
      <c r="U16" s="309"/>
      <c r="V16" s="308" t="s">
        <v>122</v>
      </c>
      <c r="W16" s="309"/>
      <c r="X16" s="22">
        <v>-0.1</v>
      </c>
      <c r="Y16" s="308">
        <v>0</v>
      </c>
      <c r="Z16" s="309"/>
      <c r="AA16" s="308">
        <v>3051</v>
      </c>
      <c r="AB16" s="309"/>
    </row>
    <row r="17" spans="1:28" ht="15.75" thickBot="1" x14ac:dyDescent="0.3">
      <c r="A17" s="491"/>
      <c r="B17" s="14" t="s">
        <v>22</v>
      </c>
      <c r="C17" s="39">
        <v>8303.49</v>
      </c>
      <c r="D17" s="1">
        <v>1612.27</v>
      </c>
      <c r="E17" s="1">
        <v>1612.27</v>
      </c>
      <c r="F17" s="1">
        <v>4457.59</v>
      </c>
      <c r="G17" s="1">
        <v>1702.36</v>
      </c>
      <c r="H17" s="199">
        <v>1705.36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308">
        <v>0.25</v>
      </c>
      <c r="U17" s="309"/>
      <c r="V17" s="308" t="s">
        <v>122</v>
      </c>
      <c r="W17" s="309"/>
      <c r="X17" s="22">
        <v>0</v>
      </c>
      <c r="Y17" s="296">
        <v>6472</v>
      </c>
      <c r="Z17" s="297"/>
      <c r="AA17" s="296">
        <v>148011</v>
      </c>
      <c r="AB17" s="297"/>
    </row>
    <row r="18" spans="1:28" ht="15.75" thickBot="1" x14ac:dyDescent="0.3">
      <c r="A18" s="491"/>
      <c r="B18" s="21" t="s">
        <v>23</v>
      </c>
      <c r="C18" s="39">
        <v>12455.24</v>
      </c>
      <c r="D18" s="22">
        <v>2418.63</v>
      </c>
      <c r="E18" s="22">
        <v>2418.63</v>
      </c>
      <c r="F18" s="22">
        <v>6686.39</v>
      </c>
      <c r="G18" s="22">
        <v>2553.54</v>
      </c>
      <c r="H18" s="308">
        <v>2553.54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308">
        <v>0.3</v>
      </c>
      <c r="U18" s="309"/>
      <c r="V18" s="308" t="s">
        <v>122</v>
      </c>
      <c r="W18" s="309"/>
      <c r="X18" s="22">
        <v>0.5</v>
      </c>
      <c r="Y18" s="519"/>
      <c r="Z18" s="520"/>
      <c r="AA18" s="519"/>
      <c r="AB18" s="520"/>
    </row>
    <row r="19" spans="1:28" x14ac:dyDescent="0.25">
      <c r="A19" s="491"/>
      <c r="B19" s="351" t="s">
        <v>26</v>
      </c>
      <c r="C19" s="215">
        <v>13285.58</v>
      </c>
      <c r="D19" s="215">
        <v>2579.5300000000002</v>
      </c>
      <c r="E19" s="215">
        <v>2579.5300000000002</v>
      </c>
      <c r="F19" s="215">
        <v>7132.14</v>
      </c>
      <c r="G19" s="215">
        <v>2723.78</v>
      </c>
      <c r="H19" s="207">
        <v>2723.78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0.35</v>
      </c>
      <c r="U19" s="297"/>
      <c r="V19" s="296" t="s">
        <v>122</v>
      </c>
      <c r="W19" s="297"/>
      <c r="X19" s="310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311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116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4566.92</v>
      </c>
      <c r="D23" s="1">
        <v>886.75</v>
      </c>
      <c r="E23" s="1">
        <v>1612.27</v>
      </c>
      <c r="F23" s="1">
        <v>2451.67</v>
      </c>
      <c r="G23" s="1">
        <v>936.3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308">
        <v>0</v>
      </c>
      <c r="U23" s="309"/>
      <c r="V23" s="308" t="s">
        <v>122</v>
      </c>
      <c r="W23" s="309"/>
      <c r="X23" s="22">
        <v>-0.38</v>
      </c>
      <c r="Y23" s="308">
        <v>4959</v>
      </c>
      <c r="Z23" s="309"/>
      <c r="AA23" s="308">
        <v>118291</v>
      </c>
      <c r="AB23" s="309"/>
    </row>
    <row r="24" spans="1:28" ht="15.75" thickBot="1" x14ac:dyDescent="0.3">
      <c r="A24" s="491"/>
      <c r="B24" s="14" t="s">
        <v>21</v>
      </c>
      <c r="C24" s="39">
        <v>5397.27</v>
      </c>
      <c r="D24" s="10">
        <v>1047.98</v>
      </c>
      <c r="E24" s="1">
        <v>1612.27</v>
      </c>
      <c r="F24" s="1">
        <v>2897.43</v>
      </c>
      <c r="G24" s="1">
        <v>1106.53</v>
      </c>
      <c r="H24" s="199">
        <v>1703.36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308">
        <v>0.15</v>
      </c>
      <c r="U24" s="309"/>
      <c r="V24" s="308" t="s">
        <v>122</v>
      </c>
      <c r="W24" s="309"/>
      <c r="X24" s="22">
        <v>-0.3</v>
      </c>
      <c r="Y24" s="308">
        <v>1513</v>
      </c>
      <c r="Z24" s="309"/>
      <c r="AA24" s="308">
        <v>26669</v>
      </c>
      <c r="AB24" s="309"/>
    </row>
    <row r="25" spans="1:28" ht="15.75" thickBot="1" x14ac:dyDescent="0.3">
      <c r="A25" s="491"/>
      <c r="B25" s="14" t="s">
        <v>24</v>
      </c>
      <c r="C25" s="39">
        <v>7888.32</v>
      </c>
      <c r="D25" s="1">
        <v>1531.66</v>
      </c>
      <c r="E25" s="1">
        <v>1612.27</v>
      </c>
      <c r="F25" s="1">
        <v>4234.71</v>
      </c>
      <c r="G25" s="1">
        <v>1617.24</v>
      </c>
      <c r="H25" s="199">
        <v>1704.36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308">
        <v>0.2</v>
      </c>
      <c r="U25" s="309"/>
      <c r="V25" s="308" t="s">
        <v>122</v>
      </c>
      <c r="W25" s="309"/>
      <c r="X25" s="22">
        <v>-0.1</v>
      </c>
      <c r="Y25" s="308">
        <v>0</v>
      </c>
      <c r="Z25" s="309"/>
      <c r="AA25" s="308">
        <v>3051</v>
      </c>
      <c r="AB25" s="309"/>
    </row>
    <row r="26" spans="1:28" ht="15.75" thickBot="1" x14ac:dyDescent="0.3">
      <c r="A26" s="491"/>
      <c r="B26" s="14" t="s">
        <v>22</v>
      </c>
      <c r="C26" s="39">
        <v>8303.49</v>
      </c>
      <c r="D26" s="1">
        <v>1612.27</v>
      </c>
      <c r="E26" s="1">
        <v>1612.27</v>
      </c>
      <c r="F26" s="1">
        <v>4457.59</v>
      </c>
      <c r="G26" s="1">
        <v>1702.36</v>
      </c>
      <c r="H26" s="199">
        <v>1705.36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308">
        <v>0.25</v>
      </c>
      <c r="U26" s="309"/>
      <c r="V26" s="308" t="s">
        <v>122</v>
      </c>
      <c r="W26" s="309"/>
      <c r="X26" s="22">
        <v>0</v>
      </c>
      <c r="Y26" s="296">
        <v>6472</v>
      </c>
      <c r="Z26" s="297"/>
      <c r="AA26" s="296">
        <v>148011</v>
      </c>
      <c r="AB26" s="297"/>
    </row>
    <row r="27" spans="1:28" ht="15.75" thickBot="1" x14ac:dyDescent="0.3">
      <c r="A27" s="491"/>
      <c r="B27" s="21" t="s">
        <v>23</v>
      </c>
      <c r="C27" s="39">
        <v>12455.24</v>
      </c>
      <c r="D27" s="22">
        <v>2418.63</v>
      </c>
      <c r="E27" s="22">
        <v>2418.63</v>
      </c>
      <c r="F27" s="22">
        <v>6686.39</v>
      </c>
      <c r="G27" s="22">
        <v>2553.54</v>
      </c>
      <c r="H27" s="308">
        <v>2553.54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308">
        <v>0.3</v>
      </c>
      <c r="U27" s="309"/>
      <c r="V27" s="308" t="s">
        <v>122</v>
      </c>
      <c r="W27" s="309"/>
      <c r="X27" s="22">
        <v>0.5</v>
      </c>
      <c r="Y27" s="519"/>
      <c r="Z27" s="520"/>
      <c r="AA27" s="519"/>
      <c r="AB27" s="520"/>
    </row>
    <row r="28" spans="1:28" x14ac:dyDescent="0.25">
      <c r="A28" s="491"/>
      <c r="B28" s="351" t="s">
        <v>26</v>
      </c>
      <c r="C28" s="215">
        <v>13285.58</v>
      </c>
      <c r="D28" s="215">
        <v>2579.5300000000002</v>
      </c>
      <c r="E28" s="215">
        <v>2579.5300000000002</v>
      </c>
      <c r="F28" s="215">
        <v>7132.14</v>
      </c>
      <c r="G28" s="215">
        <v>2723.78</v>
      </c>
      <c r="H28" s="207">
        <v>2723.78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0.35</v>
      </c>
      <c r="U28" s="297"/>
      <c r="V28" s="296" t="s">
        <v>122</v>
      </c>
      <c r="W28" s="297"/>
      <c r="X28" s="310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311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116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4566.92</v>
      </c>
      <c r="D32" s="1">
        <v>886.75</v>
      </c>
      <c r="E32" s="1">
        <v>1612.27</v>
      </c>
      <c r="F32" s="1">
        <v>2451.67</v>
      </c>
      <c r="G32" s="1">
        <v>936.3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308">
        <v>0</v>
      </c>
      <c r="U32" s="309"/>
      <c r="V32" s="308" t="s">
        <v>122</v>
      </c>
      <c r="W32" s="309"/>
      <c r="X32" s="22">
        <v>-0.38</v>
      </c>
      <c r="Y32" s="308">
        <v>4959</v>
      </c>
      <c r="Z32" s="309"/>
      <c r="AA32" s="308">
        <v>118291</v>
      </c>
      <c r="AB32" s="309"/>
    </row>
    <row r="33" spans="1:28" ht="15.75" thickBot="1" x14ac:dyDescent="0.3">
      <c r="A33" s="491"/>
      <c r="B33" s="14" t="s">
        <v>21</v>
      </c>
      <c r="C33" s="39">
        <v>5397.27</v>
      </c>
      <c r="D33" s="10">
        <v>1047.98</v>
      </c>
      <c r="E33" s="1">
        <v>1612.27</v>
      </c>
      <c r="F33" s="1">
        <v>2897.43</v>
      </c>
      <c r="G33" s="1">
        <v>1106.53</v>
      </c>
      <c r="H33" s="199">
        <v>1703.36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308">
        <v>0.15</v>
      </c>
      <c r="U33" s="309"/>
      <c r="V33" s="308" t="s">
        <v>122</v>
      </c>
      <c r="W33" s="309"/>
      <c r="X33" s="22">
        <v>-0.3</v>
      </c>
      <c r="Y33" s="308">
        <v>1513</v>
      </c>
      <c r="Z33" s="309"/>
      <c r="AA33" s="308">
        <v>26669</v>
      </c>
      <c r="AB33" s="309"/>
    </row>
    <row r="34" spans="1:28" ht="15.75" thickBot="1" x14ac:dyDescent="0.3">
      <c r="A34" s="491"/>
      <c r="B34" s="14" t="s">
        <v>24</v>
      </c>
      <c r="C34" s="39">
        <v>7888.32</v>
      </c>
      <c r="D34" s="1">
        <v>1531.66</v>
      </c>
      <c r="E34" s="1">
        <v>1612.27</v>
      </c>
      <c r="F34" s="1">
        <v>4234.71</v>
      </c>
      <c r="G34" s="1">
        <v>1617.24</v>
      </c>
      <c r="H34" s="199">
        <v>1704.36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308">
        <v>0.2</v>
      </c>
      <c r="U34" s="309"/>
      <c r="V34" s="308" t="s">
        <v>122</v>
      </c>
      <c r="W34" s="309"/>
      <c r="X34" s="22">
        <v>-0.1</v>
      </c>
      <c r="Y34" s="308">
        <v>0</v>
      </c>
      <c r="Z34" s="309"/>
      <c r="AA34" s="308">
        <v>3051</v>
      </c>
      <c r="AB34" s="309"/>
    </row>
    <row r="35" spans="1:28" ht="15.75" thickBot="1" x14ac:dyDescent="0.3">
      <c r="A35" s="491"/>
      <c r="B35" s="14" t="s">
        <v>22</v>
      </c>
      <c r="C35" s="39">
        <v>8303.49</v>
      </c>
      <c r="D35" s="1">
        <v>1612.27</v>
      </c>
      <c r="E35" s="1">
        <v>1612.27</v>
      </c>
      <c r="F35" s="1">
        <v>4457.59</v>
      </c>
      <c r="G35" s="1">
        <v>1702.36</v>
      </c>
      <c r="H35" s="199">
        <v>1705.36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308">
        <v>0.25</v>
      </c>
      <c r="U35" s="309"/>
      <c r="V35" s="308" t="s">
        <v>122</v>
      </c>
      <c r="W35" s="309"/>
      <c r="X35" s="22">
        <v>0</v>
      </c>
      <c r="Y35" s="296">
        <v>6472</v>
      </c>
      <c r="Z35" s="297"/>
      <c r="AA35" s="296">
        <v>148011</v>
      </c>
      <c r="AB35" s="297"/>
    </row>
    <row r="36" spans="1:28" ht="15.75" thickBot="1" x14ac:dyDescent="0.3">
      <c r="A36" s="491"/>
      <c r="B36" s="21" t="s">
        <v>23</v>
      </c>
      <c r="C36" s="39">
        <v>12455.24</v>
      </c>
      <c r="D36" s="22">
        <v>2418.63</v>
      </c>
      <c r="E36" s="22">
        <v>2418.63</v>
      </c>
      <c r="F36" s="22">
        <v>6686.39</v>
      </c>
      <c r="G36" s="22">
        <v>2553.54</v>
      </c>
      <c r="H36" s="308">
        <v>2553.54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308">
        <v>0.3</v>
      </c>
      <c r="U36" s="309"/>
      <c r="V36" s="308" t="s">
        <v>122</v>
      </c>
      <c r="W36" s="309"/>
      <c r="X36" s="22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13285.58</v>
      </c>
      <c r="D37" s="215">
        <v>2579.5300000000002</v>
      </c>
      <c r="E37" s="215">
        <v>2579.5300000000002</v>
      </c>
      <c r="F37" s="215">
        <v>7132.14</v>
      </c>
      <c r="G37" s="215">
        <v>2723.78</v>
      </c>
      <c r="H37" s="207">
        <v>2723.78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0.35</v>
      </c>
      <c r="U37" s="297"/>
      <c r="V37" s="296" t="s">
        <v>122</v>
      </c>
      <c r="W37" s="297"/>
      <c r="X37" s="310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311"/>
      <c r="Y38" s="298"/>
      <c r="Z38" s="299"/>
      <c r="AA38" s="298"/>
      <c r="AB38" s="299"/>
    </row>
    <row r="39" spans="1:28" ht="15.75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X37:X38"/>
    <mergeCell ref="AA8:AB11"/>
    <mergeCell ref="Y8:Z11"/>
    <mergeCell ref="Y17:Z20"/>
    <mergeCell ref="AA17:AB20"/>
    <mergeCell ref="Y26:Z29"/>
    <mergeCell ref="AA26:AB29"/>
    <mergeCell ref="Y35:Z38"/>
    <mergeCell ref="AA35:AB38"/>
    <mergeCell ref="X10:X11"/>
    <mergeCell ref="X12:X13"/>
    <mergeCell ref="Y12:Z13"/>
    <mergeCell ref="AA12:AB13"/>
    <mergeCell ref="Y14:Z14"/>
    <mergeCell ref="AA14:AB14"/>
    <mergeCell ref="Y15:Z15"/>
    <mergeCell ref="AA15:AB15"/>
    <mergeCell ref="Y16:Z16"/>
    <mergeCell ref="AA16:AB16"/>
    <mergeCell ref="X19:X20"/>
    <mergeCell ref="X21:X22"/>
    <mergeCell ref="Y21:Z22"/>
    <mergeCell ref="AA21:AB22"/>
    <mergeCell ref="X28:X29"/>
    <mergeCell ref="D10:D11"/>
    <mergeCell ref="E10:E11"/>
    <mergeCell ref="F10:F11"/>
    <mergeCell ref="B2:E2"/>
    <mergeCell ref="F2:I2"/>
    <mergeCell ref="B3:B4"/>
    <mergeCell ref="C3:C4"/>
    <mergeCell ref="D3:E3"/>
    <mergeCell ref="F3:F4"/>
    <mergeCell ref="G3:I3"/>
    <mergeCell ref="H4:I4"/>
    <mergeCell ref="G10:G11"/>
    <mergeCell ref="H10:I11"/>
    <mergeCell ref="A12:A20"/>
    <mergeCell ref="B12:B13"/>
    <mergeCell ref="C12:C13"/>
    <mergeCell ref="D12:E12"/>
    <mergeCell ref="F12:F13"/>
    <mergeCell ref="G12:I12"/>
    <mergeCell ref="H13:I13"/>
    <mergeCell ref="H14:I14"/>
    <mergeCell ref="A3:A11"/>
    <mergeCell ref="H15:I15"/>
    <mergeCell ref="H16:I16"/>
    <mergeCell ref="H17:I17"/>
    <mergeCell ref="H18:I18"/>
    <mergeCell ref="B19:B20"/>
    <mergeCell ref="C19:C20"/>
    <mergeCell ref="D19:D20"/>
    <mergeCell ref="E19:E20"/>
    <mergeCell ref="F19:F20"/>
    <mergeCell ref="G19:G20"/>
    <mergeCell ref="H19:I20"/>
    <mergeCell ref="H8:I8"/>
    <mergeCell ref="H9:I9"/>
    <mergeCell ref="B10:B11"/>
    <mergeCell ref="C10:C11"/>
    <mergeCell ref="A21:A29"/>
    <mergeCell ref="B21:B22"/>
    <mergeCell ref="C21:C22"/>
    <mergeCell ref="D21:E21"/>
    <mergeCell ref="F21:F22"/>
    <mergeCell ref="G21:I21"/>
    <mergeCell ref="H22:I22"/>
    <mergeCell ref="H23:I23"/>
    <mergeCell ref="H24:I24"/>
    <mergeCell ref="H25:I25"/>
    <mergeCell ref="H26:I26"/>
    <mergeCell ref="H27:I27"/>
    <mergeCell ref="B28:B29"/>
    <mergeCell ref="C28:C29"/>
    <mergeCell ref="D28:D29"/>
    <mergeCell ref="E28:E29"/>
    <mergeCell ref="F28:F29"/>
    <mergeCell ref="G28:G29"/>
    <mergeCell ref="H28:I29"/>
    <mergeCell ref="A30:A38"/>
    <mergeCell ref="B30:B31"/>
    <mergeCell ref="C30:C31"/>
    <mergeCell ref="D30:E30"/>
    <mergeCell ref="F30:F31"/>
    <mergeCell ref="G30:I30"/>
    <mergeCell ref="H31:I31"/>
    <mergeCell ref="H32:I32"/>
    <mergeCell ref="H33:I33"/>
    <mergeCell ref="H34:I34"/>
    <mergeCell ref="H35:I35"/>
    <mergeCell ref="H36:I36"/>
    <mergeCell ref="B37:B38"/>
    <mergeCell ref="C37:C38"/>
    <mergeCell ref="D37:D38"/>
    <mergeCell ref="E37:E38"/>
    <mergeCell ref="F37:F38"/>
    <mergeCell ref="G37:G38"/>
    <mergeCell ref="H37:I38"/>
    <mergeCell ref="P5:Q5"/>
    <mergeCell ref="P6:Q6"/>
    <mergeCell ref="P7:Q7"/>
    <mergeCell ref="A1:W1"/>
    <mergeCell ref="J2:O2"/>
    <mergeCell ref="P2:S2"/>
    <mergeCell ref="T2:W2"/>
    <mergeCell ref="J3:L3"/>
    <mergeCell ref="M3:O3"/>
    <mergeCell ref="P3:Q4"/>
    <mergeCell ref="R3:S3"/>
    <mergeCell ref="T3:W4"/>
    <mergeCell ref="H5:I5"/>
    <mergeCell ref="H6:I6"/>
    <mergeCell ref="H7:I7"/>
    <mergeCell ref="T5:U5"/>
    <mergeCell ref="V5:W5"/>
    <mergeCell ref="T6:U6"/>
    <mergeCell ref="V6:W6"/>
    <mergeCell ref="T7:U7"/>
    <mergeCell ref="V7:W7"/>
    <mergeCell ref="J12:L12"/>
    <mergeCell ref="M12:O12"/>
    <mergeCell ref="P12:Q13"/>
    <mergeCell ref="R12:S12"/>
    <mergeCell ref="T12:W13"/>
    <mergeCell ref="P8:Q8"/>
    <mergeCell ref="P9:Q9"/>
    <mergeCell ref="J10:J11"/>
    <mergeCell ref="K10:K11"/>
    <mergeCell ref="L10:L11"/>
    <mergeCell ref="M10:M11"/>
    <mergeCell ref="N10:N11"/>
    <mergeCell ref="O10:O11"/>
    <mergeCell ref="T8:U8"/>
    <mergeCell ref="V8:W8"/>
    <mergeCell ref="T9:U9"/>
    <mergeCell ref="V9:W9"/>
    <mergeCell ref="P14:Q14"/>
    <mergeCell ref="P15:Q15"/>
    <mergeCell ref="P16:Q16"/>
    <mergeCell ref="P10:Q11"/>
    <mergeCell ref="R10:R11"/>
    <mergeCell ref="S10:S11"/>
    <mergeCell ref="T14:U14"/>
    <mergeCell ref="V14:W14"/>
    <mergeCell ref="T15:U15"/>
    <mergeCell ref="V15:W15"/>
    <mergeCell ref="T16:U16"/>
    <mergeCell ref="V16:W16"/>
    <mergeCell ref="T10:U11"/>
    <mergeCell ref="V10:W11"/>
    <mergeCell ref="J21:L21"/>
    <mergeCell ref="M21:O21"/>
    <mergeCell ref="P21:Q22"/>
    <mergeCell ref="R21:S21"/>
    <mergeCell ref="T21:W22"/>
    <mergeCell ref="P17:Q17"/>
    <mergeCell ref="P18:Q18"/>
    <mergeCell ref="J19:J20"/>
    <mergeCell ref="K19:K20"/>
    <mergeCell ref="L19:L20"/>
    <mergeCell ref="M19:M20"/>
    <mergeCell ref="N19:N20"/>
    <mergeCell ref="O19:O20"/>
    <mergeCell ref="T17:U17"/>
    <mergeCell ref="V17:W17"/>
    <mergeCell ref="T18:U18"/>
    <mergeCell ref="V18:W18"/>
    <mergeCell ref="P23:Q23"/>
    <mergeCell ref="P24:Q24"/>
    <mergeCell ref="P25:Q25"/>
    <mergeCell ref="P19:Q20"/>
    <mergeCell ref="R19:R20"/>
    <mergeCell ref="S19:S20"/>
    <mergeCell ref="T23:U23"/>
    <mergeCell ref="V23:W23"/>
    <mergeCell ref="T24:U24"/>
    <mergeCell ref="V24:W24"/>
    <mergeCell ref="T25:U25"/>
    <mergeCell ref="V25:W25"/>
    <mergeCell ref="T19:U20"/>
    <mergeCell ref="V19:W20"/>
    <mergeCell ref="J30:L30"/>
    <mergeCell ref="M30:O30"/>
    <mergeCell ref="P30:Q31"/>
    <mergeCell ref="R30:S30"/>
    <mergeCell ref="T30:W31"/>
    <mergeCell ref="P26:Q26"/>
    <mergeCell ref="P27:Q27"/>
    <mergeCell ref="J28:J29"/>
    <mergeCell ref="K28:K29"/>
    <mergeCell ref="L28:L29"/>
    <mergeCell ref="M28:M29"/>
    <mergeCell ref="N28:N29"/>
    <mergeCell ref="O28:O29"/>
    <mergeCell ref="T26:U26"/>
    <mergeCell ref="V26:W26"/>
    <mergeCell ref="T27:U27"/>
    <mergeCell ref="V27:W27"/>
    <mergeCell ref="P28:Q29"/>
    <mergeCell ref="R28:R29"/>
    <mergeCell ref="S28:S29"/>
    <mergeCell ref="V32:W32"/>
    <mergeCell ref="T33:U33"/>
    <mergeCell ref="V33:W33"/>
    <mergeCell ref="T34:U34"/>
    <mergeCell ref="V34:W34"/>
    <mergeCell ref="T28:U29"/>
    <mergeCell ref="V28:W29"/>
    <mergeCell ref="T35:U35"/>
    <mergeCell ref="V35:W35"/>
    <mergeCell ref="P32:Q32"/>
    <mergeCell ref="P33:Q33"/>
    <mergeCell ref="P34:Q34"/>
    <mergeCell ref="P37:Q38"/>
    <mergeCell ref="R37:R38"/>
    <mergeCell ref="S37:S38"/>
    <mergeCell ref="P35:Q35"/>
    <mergeCell ref="P36:Q36"/>
    <mergeCell ref="T32:U32"/>
    <mergeCell ref="J37:J38"/>
    <mergeCell ref="K37:K38"/>
    <mergeCell ref="L37:L38"/>
    <mergeCell ref="M37:M38"/>
    <mergeCell ref="N37:N38"/>
    <mergeCell ref="O37:O38"/>
    <mergeCell ref="T36:U36"/>
    <mergeCell ref="V36:W36"/>
    <mergeCell ref="T37:U38"/>
    <mergeCell ref="V37:W38"/>
    <mergeCell ref="X30:X31"/>
    <mergeCell ref="Y30:Z31"/>
    <mergeCell ref="AA30:AB31"/>
    <mergeCell ref="X2:AB2"/>
    <mergeCell ref="Y5:Z5"/>
    <mergeCell ref="AA5:AB5"/>
    <mergeCell ref="Y6:Z6"/>
    <mergeCell ref="AA6:AB6"/>
    <mergeCell ref="Y7:Z7"/>
    <mergeCell ref="AA7:AB7"/>
    <mergeCell ref="AA3:AB4"/>
    <mergeCell ref="Y3:Z4"/>
    <mergeCell ref="X3:X4"/>
    <mergeCell ref="Y32:Z32"/>
    <mergeCell ref="AA32:AB32"/>
    <mergeCell ref="Y33:Z33"/>
    <mergeCell ref="AA33:AB33"/>
    <mergeCell ref="Y34:Z34"/>
    <mergeCell ref="Y23:Z23"/>
    <mergeCell ref="AA23:AB23"/>
    <mergeCell ref="Y24:Z24"/>
    <mergeCell ref="AA24:AB24"/>
    <mergeCell ref="Y25:Z25"/>
    <mergeCell ref="AA25:AB25"/>
    <mergeCell ref="AA34:AB34"/>
  </mergeCells>
  <conditionalFormatting sqref="B5:E5 C6:C9 B14 B23 B32 E6:E8">
    <cfRule type="expression" dxfId="1671" priority="316">
      <formula>#REF!=1</formula>
    </cfRule>
  </conditionalFormatting>
  <conditionalFormatting sqref="B6 D6 B15 B24 B33">
    <cfRule type="expression" dxfId="1670" priority="315">
      <formula>#REF!=2</formula>
    </cfRule>
  </conditionalFormatting>
  <conditionalFormatting sqref="B7 D7 B16 B25 B34">
    <cfRule type="expression" dxfId="1669" priority="314">
      <formula>#REF!=3</formula>
    </cfRule>
  </conditionalFormatting>
  <conditionalFormatting sqref="B8 D8 B17 B26 B35">
    <cfRule type="expression" dxfId="1668" priority="313">
      <formula>#REF!=4</formula>
    </cfRule>
  </conditionalFormatting>
  <conditionalFormatting sqref="B9 B18 B27 B36 D9:E9">
    <cfRule type="expression" dxfId="1667" priority="312">
      <formula>#REF!=5</formula>
    </cfRule>
  </conditionalFormatting>
  <conditionalFormatting sqref="B10:D10 B19 B28 B37">
    <cfRule type="expression" dxfId="1666" priority="311">
      <formula>#REF!=6</formula>
    </cfRule>
  </conditionalFormatting>
  <conditionalFormatting sqref="D4 D13 D22 D31">
    <cfRule type="expression" dxfId="1665" priority="310">
      <formula>#REF!&gt;0</formula>
    </cfRule>
  </conditionalFormatting>
  <conditionalFormatting sqref="E4 E13 E22 E31">
    <cfRule type="expression" dxfId="1664" priority="309">
      <formula>#REF!&gt;0</formula>
    </cfRule>
  </conditionalFormatting>
  <conditionalFormatting sqref="F5:H5 H6:H8">
    <cfRule type="expression" dxfId="1663" priority="308">
      <formula>#REF!=1</formula>
    </cfRule>
  </conditionalFormatting>
  <conditionalFormatting sqref="F6:G6">
    <cfRule type="expression" dxfId="1662" priority="307">
      <formula>#REF!=2</formula>
    </cfRule>
  </conditionalFormatting>
  <conditionalFormatting sqref="F7:G7">
    <cfRule type="expression" dxfId="1661" priority="306">
      <formula>#REF!=3</formula>
    </cfRule>
  </conditionalFormatting>
  <conditionalFormatting sqref="F8:G8">
    <cfRule type="expression" dxfId="1660" priority="305">
      <formula>#REF!=4</formula>
    </cfRule>
  </conditionalFormatting>
  <conditionalFormatting sqref="F9:H9">
    <cfRule type="expression" dxfId="1659" priority="304">
      <formula>#REF!=5</formula>
    </cfRule>
  </conditionalFormatting>
  <conditionalFormatting sqref="F10:G10">
    <cfRule type="expression" dxfId="1658" priority="303">
      <formula>#REF!=6</formula>
    </cfRule>
  </conditionalFormatting>
  <conditionalFormatting sqref="G4 G13 G22 G31">
    <cfRule type="expression" dxfId="1657" priority="302">
      <formula>#REF!&gt;0</formula>
    </cfRule>
  </conditionalFormatting>
  <conditionalFormatting sqref="H4 H13 H22 H31">
    <cfRule type="expression" dxfId="1656" priority="301">
      <formula>#REF!&gt;0</formula>
    </cfRule>
  </conditionalFormatting>
  <conditionalFormatting sqref="H10">
    <cfRule type="expression" dxfId="1655" priority="300">
      <formula>#REF!=6</formula>
    </cfRule>
  </conditionalFormatting>
  <conditionalFormatting sqref="M4">
    <cfRule type="expression" dxfId="1654" priority="290">
      <formula>AND($F$29=$G$26,$K$26&gt;=130)</formula>
    </cfRule>
  </conditionalFormatting>
  <conditionalFormatting sqref="N4">
    <cfRule type="expression" dxfId="1653" priority="289">
      <formula>AND($G$29=$G$26,$K$26&gt;=130)</formula>
    </cfRule>
  </conditionalFormatting>
  <conditionalFormatting sqref="O4">
    <cfRule type="expression" dxfId="1652" priority="288">
      <formula>AND($H$29=$G$26,$K$26&gt;=130)</formula>
    </cfRule>
  </conditionalFormatting>
  <conditionalFormatting sqref="M13">
    <cfRule type="expression" dxfId="1651" priority="266">
      <formula>AND($F$29=$G$26,$K$26&gt;=130)</formula>
    </cfRule>
  </conditionalFormatting>
  <conditionalFormatting sqref="N13">
    <cfRule type="expression" dxfId="1650" priority="265">
      <formula>AND($G$29=$G$26,$K$26&gt;=130)</formula>
    </cfRule>
  </conditionalFormatting>
  <conditionalFormatting sqref="O13">
    <cfRule type="expression" dxfId="1649" priority="264">
      <formula>AND($H$29=$G$26,$K$26&gt;=130)</formula>
    </cfRule>
  </conditionalFormatting>
  <conditionalFormatting sqref="M22">
    <cfRule type="expression" dxfId="1648" priority="260">
      <formula>AND($F$29=$G$26,$K$26&gt;=130)</formula>
    </cfRule>
  </conditionalFormatting>
  <conditionalFormatting sqref="N22">
    <cfRule type="expression" dxfId="1647" priority="259">
      <formula>AND($G$29=$G$26,$K$26&gt;=130)</formula>
    </cfRule>
  </conditionalFormatting>
  <conditionalFormatting sqref="O22">
    <cfRule type="expression" dxfId="1646" priority="258">
      <formula>AND($H$29=$G$26,$K$26&gt;=130)</formula>
    </cfRule>
  </conditionalFormatting>
  <conditionalFormatting sqref="M31">
    <cfRule type="expression" dxfId="1645" priority="254">
      <formula>AND($F$29=$G$26,$K$26&gt;=130)</formula>
    </cfRule>
  </conditionalFormatting>
  <conditionalFormatting sqref="N31">
    <cfRule type="expression" dxfId="1644" priority="253">
      <formula>AND($G$29=$G$26,$K$26&gt;=130)</formula>
    </cfRule>
  </conditionalFormatting>
  <conditionalFormatting sqref="O31">
    <cfRule type="expression" dxfId="1643" priority="252">
      <formula>AND($H$29=$G$26,$K$26&gt;=130)</formula>
    </cfRule>
  </conditionalFormatting>
  <conditionalFormatting sqref="S4">
    <cfRule type="expression" dxfId="1642" priority="241">
      <formula>$J$45&gt;0</formula>
    </cfRule>
  </conditionalFormatting>
  <conditionalFormatting sqref="R4">
    <cfRule type="expression" dxfId="1641" priority="240">
      <formula>$J$42&gt;0</formula>
    </cfRule>
  </conditionalFormatting>
  <conditionalFormatting sqref="S13">
    <cfRule type="expression" dxfId="1640" priority="191">
      <formula>$J$45&gt;0</formula>
    </cfRule>
  </conditionalFormatting>
  <conditionalFormatting sqref="R13">
    <cfRule type="expression" dxfId="1639" priority="190">
      <formula>$J$42&gt;0</formula>
    </cfRule>
  </conditionalFormatting>
  <conditionalFormatting sqref="S22">
    <cfRule type="expression" dxfId="1638" priority="189">
      <formula>$J$45&gt;0</formula>
    </cfRule>
  </conditionalFormatting>
  <conditionalFormatting sqref="R22">
    <cfRule type="expression" dxfId="1637" priority="188">
      <formula>$J$42&gt;0</formula>
    </cfRule>
  </conditionalFormatting>
  <conditionalFormatting sqref="S31">
    <cfRule type="expression" dxfId="1636" priority="187">
      <formula>$J$45&gt;0</formula>
    </cfRule>
  </conditionalFormatting>
  <conditionalFormatting sqref="R31">
    <cfRule type="expression" dxfId="1635" priority="186">
      <formula>$J$42&gt;0</formula>
    </cfRule>
  </conditionalFormatting>
  <conditionalFormatting sqref="E10">
    <cfRule type="expression" dxfId="1634" priority="173">
      <formula>#REF!=6</formula>
    </cfRule>
  </conditionalFormatting>
  <conditionalFormatting sqref="C14:E14 C15:C18 E15:E17">
    <cfRule type="expression" dxfId="1633" priority="172">
      <formula>#REF!=1</formula>
    </cfRule>
  </conditionalFormatting>
  <conditionalFormatting sqref="D15">
    <cfRule type="expression" dxfId="1632" priority="171">
      <formula>#REF!=2</formula>
    </cfRule>
  </conditionalFormatting>
  <conditionalFormatting sqref="D16">
    <cfRule type="expression" dxfId="1631" priority="170">
      <formula>#REF!=3</formula>
    </cfRule>
  </conditionalFormatting>
  <conditionalFormatting sqref="D17">
    <cfRule type="expression" dxfId="1630" priority="169">
      <formula>#REF!=4</formula>
    </cfRule>
  </conditionalFormatting>
  <conditionalFormatting sqref="D18:E18">
    <cfRule type="expression" dxfId="1629" priority="168">
      <formula>#REF!=5</formula>
    </cfRule>
  </conditionalFormatting>
  <conditionalFormatting sqref="C19:D19">
    <cfRule type="expression" dxfId="1628" priority="167">
      <formula>#REF!=6</formula>
    </cfRule>
  </conditionalFormatting>
  <conditionalFormatting sqref="F14:H14 H15:H17">
    <cfRule type="expression" dxfId="1627" priority="166">
      <formula>#REF!=1</formula>
    </cfRule>
  </conditionalFormatting>
  <conditionalFormatting sqref="F15:G15">
    <cfRule type="expression" dxfId="1626" priority="165">
      <formula>#REF!=2</formula>
    </cfRule>
  </conditionalFormatting>
  <conditionalFormatting sqref="F16:G16">
    <cfRule type="expression" dxfId="1625" priority="164">
      <formula>#REF!=3</formula>
    </cfRule>
  </conditionalFormatting>
  <conditionalFormatting sqref="F17:G17">
    <cfRule type="expression" dxfId="1624" priority="163">
      <formula>#REF!=4</formula>
    </cfRule>
  </conditionalFormatting>
  <conditionalFormatting sqref="F18:H18">
    <cfRule type="expression" dxfId="1623" priority="162">
      <formula>#REF!=5</formula>
    </cfRule>
  </conditionalFormatting>
  <conditionalFormatting sqref="F19:G19">
    <cfRule type="expression" dxfId="1622" priority="161">
      <formula>#REF!=6</formula>
    </cfRule>
  </conditionalFormatting>
  <conditionalFormatting sqref="H19">
    <cfRule type="expression" dxfId="1621" priority="160">
      <formula>#REF!=6</formula>
    </cfRule>
  </conditionalFormatting>
  <conditionalFormatting sqref="E19">
    <cfRule type="expression" dxfId="1620" priority="159">
      <formula>#REF!=6</formula>
    </cfRule>
  </conditionalFormatting>
  <conditionalFormatting sqref="C23:E23 C24:C27 E24:E26">
    <cfRule type="expression" dxfId="1619" priority="158">
      <formula>#REF!=1</formula>
    </cfRule>
  </conditionalFormatting>
  <conditionalFormatting sqref="D24">
    <cfRule type="expression" dxfId="1618" priority="157">
      <formula>#REF!=2</formula>
    </cfRule>
  </conditionalFormatting>
  <conditionalFormatting sqref="D25">
    <cfRule type="expression" dxfId="1617" priority="156">
      <formula>#REF!=3</formula>
    </cfRule>
  </conditionalFormatting>
  <conditionalFormatting sqref="D26">
    <cfRule type="expression" dxfId="1616" priority="155">
      <formula>#REF!=4</formula>
    </cfRule>
  </conditionalFormatting>
  <conditionalFormatting sqref="D27:E27">
    <cfRule type="expression" dxfId="1615" priority="154">
      <formula>#REF!=5</formula>
    </cfRule>
  </conditionalFormatting>
  <conditionalFormatting sqref="C28:D28">
    <cfRule type="expression" dxfId="1614" priority="153">
      <formula>#REF!=6</formula>
    </cfRule>
  </conditionalFormatting>
  <conditionalFormatting sqref="F23:H23 H24:H26">
    <cfRule type="expression" dxfId="1613" priority="152">
      <formula>#REF!=1</formula>
    </cfRule>
  </conditionalFormatting>
  <conditionalFormatting sqref="F24:G24">
    <cfRule type="expression" dxfId="1612" priority="151">
      <formula>#REF!=2</formula>
    </cfRule>
  </conditionalFormatting>
  <conditionalFormatting sqref="F25:G25">
    <cfRule type="expression" dxfId="1611" priority="150">
      <formula>#REF!=3</formula>
    </cfRule>
  </conditionalFormatting>
  <conditionalFormatting sqref="F26:G26">
    <cfRule type="expression" dxfId="1610" priority="149">
      <formula>#REF!=4</formula>
    </cfRule>
  </conditionalFormatting>
  <conditionalFormatting sqref="F27:H27">
    <cfRule type="expression" dxfId="1609" priority="148">
      <formula>#REF!=5</formula>
    </cfRule>
  </conditionalFormatting>
  <conditionalFormatting sqref="F28:G28">
    <cfRule type="expression" dxfId="1608" priority="147">
      <formula>#REF!=6</formula>
    </cfRule>
  </conditionalFormatting>
  <conditionalFormatting sqref="H28">
    <cfRule type="expression" dxfId="1607" priority="146">
      <formula>#REF!=6</formula>
    </cfRule>
  </conditionalFormatting>
  <conditionalFormatting sqref="E28">
    <cfRule type="expression" dxfId="1606" priority="145">
      <formula>#REF!=6</formula>
    </cfRule>
  </conditionalFormatting>
  <conditionalFormatting sqref="C32:E32 C33:C36 E33:E35">
    <cfRule type="expression" dxfId="1605" priority="144">
      <formula>#REF!=1</formula>
    </cfRule>
  </conditionalFormatting>
  <conditionalFormatting sqref="D33">
    <cfRule type="expression" dxfId="1604" priority="143">
      <formula>#REF!=2</formula>
    </cfRule>
  </conditionalFormatting>
  <conditionalFormatting sqref="D34">
    <cfRule type="expression" dxfId="1603" priority="142">
      <formula>#REF!=3</formula>
    </cfRule>
  </conditionalFormatting>
  <conditionalFormatting sqref="D35">
    <cfRule type="expression" dxfId="1602" priority="141">
      <formula>#REF!=4</formula>
    </cfRule>
  </conditionalFormatting>
  <conditionalFormatting sqref="D36:E36">
    <cfRule type="expression" dxfId="1601" priority="140">
      <formula>#REF!=5</formula>
    </cfRule>
  </conditionalFormatting>
  <conditionalFormatting sqref="C37:D37">
    <cfRule type="expression" dxfId="1600" priority="139">
      <formula>#REF!=6</formula>
    </cfRule>
  </conditionalFormatting>
  <conditionalFormatting sqref="F32:H32 H33:H35">
    <cfRule type="expression" dxfId="1599" priority="138">
      <formula>#REF!=1</formula>
    </cfRule>
  </conditionalFormatting>
  <conditionalFormatting sqref="F33:G33">
    <cfRule type="expression" dxfId="1598" priority="137">
      <formula>#REF!=2</formula>
    </cfRule>
  </conditionalFormatting>
  <conditionalFormatting sqref="F34:G34">
    <cfRule type="expression" dxfId="1597" priority="136">
      <formula>#REF!=3</formula>
    </cfRule>
  </conditionalFormatting>
  <conditionalFormatting sqref="F35:G35">
    <cfRule type="expression" dxfId="1596" priority="135">
      <formula>#REF!=4</formula>
    </cfRule>
  </conditionalFormatting>
  <conditionalFormatting sqref="F36:H36">
    <cfRule type="expression" dxfId="1595" priority="134">
      <formula>#REF!=5</formula>
    </cfRule>
  </conditionalFormatting>
  <conditionalFormatting sqref="F37:G37">
    <cfRule type="expression" dxfId="1594" priority="133">
      <formula>#REF!=6</formula>
    </cfRule>
  </conditionalFormatting>
  <conditionalFormatting sqref="H37">
    <cfRule type="expression" dxfId="1593" priority="132">
      <formula>#REF!=6</formula>
    </cfRule>
  </conditionalFormatting>
  <conditionalFormatting sqref="E37">
    <cfRule type="expression" dxfId="1592" priority="131">
      <formula>#REF!=6</formula>
    </cfRule>
  </conditionalFormatting>
  <conditionalFormatting sqref="K5:N5 L6:L9">
    <cfRule type="expression" dxfId="1591" priority="130">
      <formula>$C$26=1</formula>
    </cfRule>
  </conditionalFormatting>
  <conditionalFormatting sqref="K7">
    <cfRule type="expression" dxfId="1590" priority="129">
      <formula>$C$26=3</formula>
    </cfRule>
  </conditionalFormatting>
  <conditionalFormatting sqref="K9 N9">
    <cfRule type="expression" dxfId="1589" priority="128">
      <formula>$C$26=5</formula>
    </cfRule>
  </conditionalFormatting>
  <conditionalFormatting sqref="M10 K10">
    <cfRule type="expression" dxfId="1588" priority="127">
      <formula>$C$26=6</formula>
    </cfRule>
  </conditionalFormatting>
  <conditionalFormatting sqref="K6">
    <cfRule type="expression" dxfId="1587" priority="126">
      <formula>$C$26=2</formula>
    </cfRule>
  </conditionalFormatting>
  <conditionalFormatting sqref="K8">
    <cfRule type="expression" dxfId="1586" priority="125">
      <formula>$C$26=4</formula>
    </cfRule>
  </conditionalFormatting>
  <conditionalFormatting sqref="M6">
    <cfRule type="expression" dxfId="1585" priority="124">
      <formula>$C$26=1</formula>
    </cfRule>
  </conditionalFormatting>
  <conditionalFormatting sqref="M7">
    <cfRule type="expression" dxfId="1584" priority="123">
      <formula>$C$26=1</formula>
    </cfRule>
  </conditionalFormatting>
  <conditionalFormatting sqref="M8">
    <cfRule type="expression" dxfId="1583" priority="122">
      <formula>$C$26=1</formula>
    </cfRule>
  </conditionalFormatting>
  <conditionalFormatting sqref="N6">
    <cfRule type="expression" dxfId="1582" priority="121">
      <formula>$C$26=1</formula>
    </cfRule>
  </conditionalFormatting>
  <conditionalFormatting sqref="N7">
    <cfRule type="expression" dxfId="1581" priority="120">
      <formula>$C$26=1</formula>
    </cfRule>
  </conditionalFormatting>
  <conditionalFormatting sqref="N8">
    <cfRule type="expression" dxfId="1580" priority="119">
      <formula>$C$26=1</formula>
    </cfRule>
  </conditionalFormatting>
  <conditionalFormatting sqref="K14:N14 L15:L18">
    <cfRule type="expression" dxfId="1579" priority="118">
      <formula>$C$26=1</formula>
    </cfRule>
  </conditionalFormatting>
  <conditionalFormatting sqref="K16 N16">
    <cfRule type="expression" dxfId="1578" priority="117">
      <formula>$C$26=3</formula>
    </cfRule>
  </conditionalFormatting>
  <conditionalFormatting sqref="K18 M18:N18">
    <cfRule type="expression" dxfId="1577" priority="116">
      <formula>$C$26=5</formula>
    </cfRule>
  </conditionalFormatting>
  <conditionalFormatting sqref="M19 K19">
    <cfRule type="expression" dxfId="1576" priority="115">
      <formula>$C$26=6</formula>
    </cfRule>
  </conditionalFormatting>
  <conditionalFormatting sqref="K15 N15">
    <cfRule type="expression" dxfId="1575" priority="114">
      <formula>$C$26=2</formula>
    </cfRule>
  </conditionalFormatting>
  <conditionalFormatting sqref="K17 N17">
    <cfRule type="expression" dxfId="1574" priority="113">
      <formula>$C$26=4</formula>
    </cfRule>
  </conditionalFormatting>
  <conditionalFormatting sqref="M15">
    <cfRule type="expression" dxfId="1573" priority="112">
      <formula>$C$26=1</formula>
    </cfRule>
  </conditionalFormatting>
  <conditionalFormatting sqref="M16">
    <cfRule type="expression" dxfId="1572" priority="111">
      <formula>$C$26=1</formula>
    </cfRule>
  </conditionalFormatting>
  <conditionalFormatting sqref="M17">
    <cfRule type="expression" dxfId="1571" priority="110">
      <formula>$C$26=1</formula>
    </cfRule>
  </conditionalFormatting>
  <conditionalFormatting sqref="K23">
    <cfRule type="expression" dxfId="1570" priority="109">
      <formula>$C$26=1</formula>
    </cfRule>
  </conditionalFormatting>
  <conditionalFormatting sqref="K25">
    <cfRule type="expression" dxfId="1569" priority="108">
      <formula>$C$26=3</formula>
    </cfRule>
  </conditionalFormatting>
  <conditionalFormatting sqref="K27">
    <cfRule type="expression" dxfId="1568" priority="107">
      <formula>$C$26=5</formula>
    </cfRule>
  </conditionalFormatting>
  <conditionalFormatting sqref="K28">
    <cfRule type="expression" dxfId="1567" priority="106">
      <formula>$C$26=6</formula>
    </cfRule>
  </conditionalFormatting>
  <conditionalFormatting sqref="K24">
    <cfRule type="expression" dxfId="1566" priority="105">
      <formula>$C$26=2</formula>
    </cfRule>
  </conditionalFormatting>
  <conditionalFormatting sqref="K26">
    <cfRule type="expression" dxfId="1565" priority="104">
      <formula>$C$26=4</formula>
    </cfRule>
  </conditionalFormatting>
  <conditionalFormatting sqref="L23:N23 L24:L27">
    <cfRule type="expression" dxfId="1564" priority="103">
      <formula>$C$26=1</formula>
    </cfRule>
  </conditionalFormatting>
  <conditionalFormatting sqref="M27:N27">
    <cfRule type="expression" dxfId="1563" priority="102">
      <formula>$C$26=5</formula>
    </cfRule>
  </conditionalFormatting>
  <conditionalFormatting sqref="M28">
    <cfRule type="expression" dxfId="1562" priority="101">
      <formula>$C$26=6</formula>
    </cfRule>
  </conditionalFormatting>
  <conditionalFormatting sqref="N24:N26">
    <cfRule type="expression" dxfId="1561" priority="100">
      <formula>$C$26=2</formula>
    </cfRule>
  </conditionalFormatting>
  <conditionalFormatting sqref="M24">
    <cfRule type="expression" dxfId="1560" priority="99">
      <formula>$C$26=1</formula>
    </cfRule>
  </conditionalFormatting>
  <conditionalFormatting sqref="M25">
    <cfRule type="expression" dxfId="1559" priority="98">
      <formula>$C$26=1</formula>
    </cfRule>
  </conditionalFormatting>
  <conditionalFormatting sqref="M26">
    <cfRule type="expression" dxfId="1558" priority="97">
      <formula>$C$26=1</formula>
    </cfRule>
  </conditionalFormatting>
  <conditionalFormatting sqref="P5:S9">
    <cfRule type="expression" dxfId="1557" priority="95">
      <formula>$C$42=1</formula>
    </cfRule>
  </conditionalFormatting>
  <conditionalFormatting sqref="S10">
    <cfRule type="expression" dxfId="1556" priority="94">
      <formula>$C$26=5</formula>
    </cfRule>
  </conditionalFormatting>
  <conditionalFormatting sqref="R10:S10 P10">
    <cfRule type="expression" dxfId="1555" priority="93">
      <formula>$C$42=6</formula>
    </cfRule>
  </conditionalFormatting>
  <conditionalFormatting sqref="P14:S18">
    <cfRule type="expression" dxfId="1554" priority="92">
      <formula>$C$42=1</formula>
    </cfRule>
  </conditionalFormatting>
  <conditionalFormatting sqref="S19">
    <cfRule type="expression" dxfId="1553" priority="91">
      <formula>$C$26=5</formula>
    </cfRule>
  </conditionalFormatting>
  <conditionalFormatting sqref="R19:S19 P19">
    <cfRule type="expression" dxfId="1552" priority="90">
      <formula>$C$42=6</formula>
    </cfRule>
  </conditionalFormatting>
  <conditionalFormatting sqref="P23:Q23">
    <cfRule type="expression" dxfId="1551" priority="89">
      <formula>$C$42=1</formula>
    </cfRule>
  </conditionalFormatting>
  <conditionalFormatting sqref="P24:Q24">
    <cfRule type="expression" dxfId="1550" priority="88">
      <formula>$C$42=2</formula>
    </cfRule>
  </conditionalFormatting>
  <conditionalFormatting sqref="P25:Q25">
    <cfRule type="expression" dxfId="1549" priority="87">
      <formula>$C$42=3</formula>
    </cfRule>
  </conditionalFormatting>
  <conditionalFormatting sqref="P26:Q26">
    <cfRule type="expression" dxfId="1548" priority="86">
      <formula>$C$42=4</formula>
    </cfRule>
  </conditionalFormatting>
  <conditionalFormatting sqref="P27:Q27">
    <cfRule type="expression" dxfId="1547" priority="85">
      <formula>$C$42=5</formula>
    </cfRule>
  </conditionalFormatting>
  <conditionalFormatting sqref="P28">
    <cfRule type="expression" dxfId="1546" priority="84">
      <formula>$C$42=6</formula>
    </cfRule>
  </conditionalFormatting>
  <conditionalFormatting sqref="R23">
    <cfRule type="expression" dxfId="1545" priority="83">
      <formula>$C$42=1</formula>
    </cfRule>
  </conditionalFormatting>
  <conditionalFormatting sqref="R24">
    <cfRule type="expression" dxfId="1544" priority="82">
      <formula>$C$42=2</formula>
    </cfRule>
  </conditionalFormatting>
  <conditionalFormatting sqref="R25">
    <cfRule type="expression" dxfId="1543" priority="81">
      <formula>$C$42=3</formula>
    </cfRule>
  </conditionalFormatting>
  <conditionalFormatting sqref="R26">
    <cfRule type="expression" dxfId="1542" priority="80">
      <formula>$C$42=4</formula>
    </cfRule>
  </conditionalFormatting>
  <conditionalFormatting sqref="R27">
    <cfRule type="expression" dxfId="1541" priority="79">
      <formula>$C$42=5</formula>
    </cfRule>
  </conditionalFormatting>
  <conditionalFormatting sqref="R28">
    <cfRule type="expression" dxfId="1540" priority="78">
      <formula>$C$42=6</formula>
    </cfRule>
  </conditionalFormatting>
  <conditionalFormatting sqref="S23">
    <cfRule type="expression" dxfId="1539" priority="77">
      <formula>$C$42=1</formula>
    </cfRule>
  </conditionalFormatting>
  <conditionalFormatting sqref="S25">
    <cfRule type="expression" dxfId="1538" priority="76">
      <formula>$C$42=3</formula>
    </cfRule>
  </conditionalFormatting>
  <conditionalFormatting sqref="S27">
    <cfRule type="expression" dxfId="1537" priority="75">
      <formula>$C$42=5</formula>
    </cfRule>
  </conditionalFormatting>
  <conditionalFormatting sqref="S24">
    <cfRule type="expression" dxfId="1536" priority="74">
      <formula>$C$42=2</formula>
    </cfRule>
  </conditionalFormatting>
  <conditionalFormatting sqref="S27:S28">
    <cfRule type="expression" dxfId="1535" priority="73">
      <formula>$C$26=5</formula>
    </cfRule>
  </conditionalFormatting>
  <conditionalFormatting sqref="S26">
    <cfRule type="expression" dxfId="1534" priority="72">
      <formula>$C$42=4</formula>
    </cfRule>
  </conditionalFormatting>
  <conditionalFormatting sqref="S28">
    <cfRule type="expression" dxfId="1533" priority="71">
      <formula>$C$42=6</formula>
    </cfRule>
  </conditionalFormatting>
  <conditionalFormatting sqref="P32:S32">
    <cfRule type="expression" dxfId="1532" priority="70">
      <formula>$C$42=1</formula>
    </cfRule>
  </conditionalFormatting>
  <conditionalFormatting sqref="P34:S35">
    <cfRule type="expression" dxfId="1531" priority="69">
      <formula>$C$42=3</formula>
    </cfRule>
  </conditionalFormatting>
  <conditionalFormatting sqref="P36:S36">
    <cfRule type="expression" dxfId="1530" priority="68">
      <formula>$C$42=5</formula>
    </cfRule>
  </conditionalFormatting>
  <conditionalFormatting sqref="P33:S33">
    <cfRule type="expression" dxfId="1529" priority="67">
      <formula>$C$42=2</formula>
    </cfRule>
  </conditionalFormatting>
  <conditionalFormatting sqref="S36:S37">
    <cfRule type="expression" dxfId="1528" priority="66">
      <formula>$C$26=5</formula>
    </cfRule>
  </conditionalFormatting>
  <conditionalFormatting sqref="R37:S37 P37">
    <cfRule type="expression" dxfId="1527" priority="65">
      <formula>$C$42=6</formula>
    </cfRule>
  </conditionalFormatting>
  <conditionalFormatting sqref="M37 K37">
    <cfRule type="expression" dxfId="1526" priority="46">
      <formula>$C$26=6</formula>
    </cfRule>
  </conditionalFormatting>
  <conditionalFormatting sqref="B41">
    <cfRule type="expression" dxfId="1525" priority="45">
      <formula>#REF!=1</formula>
    </cfRule>
  </conditionalFormatting>
  <conditionalFormatting sqref="B42">
    <cfRule type="expression" dxfId="1524" priority="44">
      <formula>#REF!=2</formula>
    </cfRule>
  </conditionalFormatting>
  <conditionalFormatting sqref="B43">
    <cfRule type="expression" dxfId="1523" priority="43">
      <formula>#REF!=3</formula>
    </cfRule>
  </conditionalFormatting>
  <conditionalFormatting sqref="B44">
    <cfRule type="expression" dxfId="1522" priority="42">
      <formula>#REF!=4</formula>
    </cfRule>
  </conditionalFormatting>
  <conditionalFormatting sqref="B45">
    <cfRule type="expression" dxfId="1521" priority="41">
      <formula>#REF!=5</formula>
    </cfRule>
  </conditionalFormatting>
  <conditionalFormatting sqref="B46">
    <cfRule type="expression" dxfId="1520" priority="40">
      <formula>#REF!=6</formula>
    </cfRule>
  </conditionalFormatting>
  <conditionalFormatting sqref="D40">
    <cfRule type="expression" dxfId="1519" priority="39">
      <formula>#REF!&gt;0</formula>
    </cfRule>
  </conditionalFormatting>
  <conditionalFormatting sqref="E40">
    <cfRule type="expression" dxfId="1518" priority="38">
      <formula>#REF!&gt;0</formula>
    </cfRule>
  </conditionalFormatting>
  <conditionalFormatting sqref="G40">
    <cfRule type="expression" dxfId="1517" priority="37">
      <formula>#REF!&gt;0</formula>
    </cfRule>
  </conditionalFormatting>
  <conditionalFormatting sqref="H40">
    <cfRule type="expression" dxfId="1516" priority="36">
      <formula>#REF!&gt;0</formula>
    </cfRule>
  </conditionalFormatting>
  <conditionalFormatting sqref="M40">
    <cfRule type="expression" dxfId="1515" priority="35">
      <formula>AND($F$29=$G$26,$K$26&gt;=130)</formula>
    </cfRule>
  </conditionalFormatting>
  <conditionalFormatting sqref="N40">
    <cfRule type="expression" dxfId="1514" priority="34">
      <formula>AND($G$29=$G$26,$K$26&gt;=130)</formula>
    </cfRule>
  </conditionalFormatting>
  <conditionalFormatting sqref="O40">
    <cfRule type="expression" dxfId="1513" priority="33">
      <formula>AND($H$29=$G$26,$K$26&gt;=130)</formula>
    </cfRule>
  </conditionalFormatting>
  <conditionalFormatting sqref="S40">
    <cfRule type="expression" dxfId="1512" priority="32">
      <formula>$J$45&gt;0</formula>
    </cfRule>
  </conditionalFormatting>
  <conditionalFormatting sqref="R40">
    <cfRule type="expression" dxfId="1511" priority="31">
      <formula>$J$42&gt;0</formula>
    </cfRule>
  </conditionalFormatting>
  <conditionalFormatting sqref="C41:E41 C42:C45 E42:E44">
    <cfRule type="expression" dxfId="1510" priority="30">
      <formula>#REF!=1</formula>
    </cfRule>
  </conditionalFormatting>
  <conditionalFormatting sqref="D42">
    <cfRule type="expression" dxfId="1509" priority="29">
      <formula>#REF!=2</formula>
    </cfRule>
  </conditionalFormatting>
  <conditionalFormatting sqref="D43">
    <cfRule type="expression" dxfId="1508" priority="28">
      <formula>#REF!=3</formula>
    </cfRule>
  </conditionalFormatting>
  <conditionalFormatting sqref="D44">
    <cfRule type="expression" dxfId="1507" priority="27">
      <formula>#REF!=4</formula>
    </cfRule>
  </conditionalFormatting>
  <conditionalFormatting sqref="D45:E45">
    <cfRule type="expression" dxfId="1506" priority="26">
      <formula>#REF!=5</formula>
    </cfRule>
  </conditionalFormatting>
  <conditionalFormatting sqref="C46:D46">
    <cfRule type="expression" dxfId="1505" priority="25">
      <formula>#REF!=6</formula>
    </cfRule>
  </conditionalFormatting>
  <conditionalFormatting sqref="F41:H41 H42:H44">
    <cfRule type="expression" dxfId="1504" priority="24">
      <formula>#REF!=1</formula>
    </cfRule>
  </conditionalFormatting>
  <conditionalFormatting sqref="F42:G42">
    <cfRule type="expression" dxfId="1503" priority="23">
      <formula>#REF!=2</formula>
    </cfRule>
  </conditionalFormatting>
  <conditionalFormatting sqref="F43:G43">
    <cfRule type="expression" dxfId="1502" priority="22">
      <formula>#REF!=3</formula>
    </cfRule>
  </conditionalFormatting>
  <conditionalFormatting sqref="F44:G44">
    <cfRule type="expression" dxfId="1501" priority="21">
      <formula>#REF!=4</formula>
    </cfRule>
  </conditionalFormatting>
  <conditionalFormatting sqref="F45:H45">
    <cfRule type="expression" dxfId="1500" priority="20">
      <formula>#REF!=5</formula>
    </cfRule>
  </conditionalFormatting>
  <conditionalFormatting sqref="F46:G46">
    <cfRule type="expression" dxfId="1499" priority="19">
      <formula>#REF!=6</formula>
    </cfRule>
  </conditionalFormatting>
  <conditionalFormatting sqref="H46">
    <cfRule type="expression" dxfId="1498" priority="18">
      <formula>#REF!=6</formula>
    </cfRule>
  </conditionalFormatting>
  <conditionalFormatting sqref="E46">
    <cfRule type="expression" dxfId="1497" priority="17">
      <formula>#REF!=6</formula>
    </cfRule>
  </conditionalFormatting>
  <conditionalFormatting sqref="V46 T41 T46">
    <cfRule type="expression" dxfId="1496" priority="10">
      <formula>$C$58=1</formula>
    </cfRule>
  </conditionalFormatting>
  <conditionalFormatting sqref="V45">
    <cfRule type="expression" dxfId="1495" priority="9">
      <formula>$C$58=1</formula>
    </cfRule>
  </conditionalFormatting>
  <conditionalFormatting sqref="T42:T45">
    <cfRule type="expression" dxfId="1494" priority="8">
      <formula>$C$58=1</formula>
    </cfRule>
  </conditionalFormatting>
  <conditionalFormatting sqref="V41:V44">
    <cfRule type="expression" dxfId="1493" priority="7">
      <formula>$C$58=1</formula>
    </cfRule>
  </conditionalFormatting>
  <conditionalFormatting sqref="M46 K46">
    <cfRule type="expression" dxfId="1492" priority="6">
      <formula>$C$26=6</formula>
    </cfRule>
  </conditionalFormatting>
  <conditionalFormatting sqref="P41:Q41">
    <cfRule type="expression" dxfId="1491" priority="5">
      <formula>$C$42=1</formula>
    </cfRule>
  </conditionalFormatting>
  <conditionalFormatting sqref="P43:Q44">
    <cfRule type="expression" dxfId="1490" priority="4">
      <formula>$C$42=3</formula>
    </cfRule>
  </conditionalFormatting>
  <conditionalFormatting sqref="P45:Q45">
    <cfRule type="expression" dxfId="1489" priority="3">
      <formula>$C$42=5</formula>
    </cfRule>
  </conditionalFormatting>
  <conditionalFormatting sqref="P42:Q42">
    <cfRule type="expression" dxfId="1488" priority="2">
      <formula>$C$42=2</formula>
    </cfRule>
  </conditionalFormatting>
  <conditionalFormatting sqref="P46">
    <cfRule type="expression" dxfId="1487" priority="1">
      <formula>$C$42=6</formula>
    </cfRule>
  </conditionalFormatting>
  <hyperlinks>
    <hyperlink ref="AD3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D50"/>
  <sheetViews>
    <sheetView topLeftCell="K28" zoomScaleNormal="100" workbookViewId="0">
      <selection activeCell="S46" sqref="P41:S47"/>
    </sheetView>
  </sheetViews>
  <sheetFormatPr baseColWidth="10" defaultRowHeight="15" x14ac:dyDescent="0.25"/>
  <cols>
    <col min="2" max="2" width="22.42578125" customWidth="1"/>
  </cols>
  <sheetData>
    <row r="1" spans="1:30" ht="26.25" thickBot="1" x14ac:dyDescent="0.3">
      <c r="A1" s="511" t="s">
        <v>109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103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51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173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2491.0500000000002</v>
      </c>
      <c r="D5" s="1">
        <v>483.68</v>
      </c>
      <c r="E5" s="1">
        <v>1612.27</v>
      </c>
      <c r="F5" s="1">
        <v>1337.28</v>
      </c>
      <c r="G5" s="1">
        <v>510.71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199" t="s">
        <v>191</v>
      </c>
      <c r="U5" s="200"/>
      <c r="V5" s="199" t="s">
        <v>191</v>
      </c>
      <c r="W5" s="200"/>
      <c r="X5" s="22">
        <v>-0.7</v>
      </c>
      <c r="Y5" s="341">
        <v>1513.46</v>
      </c>
      <c r="Z5" s="341"/>
      <c r="AA5" s="341">
        <v>120092.49</v>
      </c>
      <c r="AB5" s="341"/>
    </row>
    <row r="6" spans="1:30" ht="15.75" thickBot="1" x14ac:dyDescent="0.3">
      <c r="A6" s="491"/>
      <c r="B6" s="14" t="s">
        <v>21</v>
      </c>
      <c r="C6" s="39">
        <v>4982.09</v>
      </c>
      <c r="D6" s="10">
        <v>967.36</v>
      </c>
      <c r="E6" s="1">
        <v>1612.27</v>
      </c>
      <c r="F6" s="1">
        <v>2674.55</v>
      </c>
      <c r="G6" s="1">
        <v>1021.42</v>
      </c>
      <c r="H6" s="199">
        <v>1703.36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199" t="s">
        <v>191</v>
      </c>
      <c r="U6" s="200"/>
      <c r="V6" s="199" t="s">
        <v>191</v>
      </c>
      <c r="W6" s="200"/>
      <c r="X6" s="22">
        <v>-0.4</v>
      </c>
      <c r="Y6" s="341">
        <v>4.13</v>
      </c>
      <c r="Z6" s="341"/>
      <c r="AA6" s="341">
        <v>26669.37</v>
      </c>
      <c r="AB6" s="341"/>
    </row>
    <row r="7" spans="1:30" ht="15.75" thickBot="1" x14ac:dyDescent="0.3">
      <c r="A7" s="491"/>
      <c r="B7" s="14" t="s">
        <v>24</v>
      </c>
      <c r="C7" s="39">
        <v>7057.97</v>
      </c>
      <c r="D7" s="1">
        <v>1370.43</v>
      </c>
      <c r="E7" s="1">
        <v>1612.27</v>
      </c>
      <c r="F7" s="1">
        <v>3788.95</v>
      </c>
      <c r="G7" s="1">
        <v>1447.01</v>
      </c>
      <c r="H7" s="199">
        <v>1704.36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199" t="s">
        <v>191</v>
      </c>
      <c r="U7" s="200"/>
      <c r="V7" s="199" t="s">
        <v>191</v>
      </c>
      <c r="W7" s="200"/>
      <c r="X7" s="22">
        <v>-0.15</v>
      </c>
      <c r="Y7" s="341">
        <v>3961.68</v>
      </c>
      <c r="Z7" s="341"/>
      <c r="AA7" s="341">
        <v>3051.11</v>
      </c>
      <c r="AB7" s="341"/>
    </row>
    <row r="8" spans="1:30" ht="15.75" thickBot="1" x14ac:dyDescent="0.3">
      <c r="A8" s="491"/>
      <c r="B8" s="14" t="s">
        <v>22</v>
      </c>
      <c r="C8" s="39">
        <v>8303.49</v>
      </c>
      <c r="D8" s="1">
        <v>1612.27</v>
      </c>
      <c r="E8" s="1">
        <v>1612.27</v>
      </c>
      <c r="F8" s="1">
        <v>4457.59</v>
      </c>
      <c r="G8" s="1">
        <v>1702.36</v>
      </c>
      <c r="H8" s="199">
        <v>1705.36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199" t="s">
        <v>191</v>
      </c>
      <c r="U8" s="200"/>
      <c r="V8" s="199" t="s">
        <v>191</v>
      </c>
      <c r="W8" s="200"/>
      <c r="X8" s="22">
        <v>0</v>
      </c>
      <c r="Y8" s="296">
        <v>5479.27</v>
      </c>
      <c r="Z8" s="297"/>
      <c r="AA8" s="296">
        <v>149812.97</v>
      </c>
      <c r="AB8" s="297"/>
    </row>
    <row r="9" spans="1:30" ht="15.75" thickBot="1" x14ac:dyDescent="0.3">
      <c r="A9" s="491"/>
      <c r="B9" s="21" t="s">
        <v>23</v>
      </c>
      <c r="C9" s="39">
        <v>12455.24</v>
      </c>
      <c r="D9" s="22">
        <v>2418.41</v>
      </c>
      <c r="E9" s="22">
        <v>2418.41</v>
      </c>
      <c r="F9" s="22">
        <v>6686.39</v>
      </c>
      <c r="G9" s="22">
        <v>2553.54</v>
      </c>
      <c r="H9" s="308">
        <v>2553.54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199" t="s">
        <v>191</v>
      </c>
      <c r="U9" s="200"/>
      <c r="V9" s="199" t="s">
        <v>191</v>
      </c>
      <c r="W9" s="200"/>
      <c r="X9" s="22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13285.58</v>
      </c>
      <c r="D10" s="215">
        <v>2579.63</v>
      </c>
      <c r="E10" s="215">
        <v>2579.63</v>
      </c>
      <c r="F10" s="215">
        <v>7132.14</v>
      </c>
      <c r="G10" s="215">
        <v>2723.78</v>
      </c>
      <c r="H10" s="207">
        <v>2723.78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 t="s">
        <v>191</v>
      </c>
      <c r="U10" s="297"/>
      <c r="V10" s="296" t="s">
        <v>191</v>
      </c>
      <c r="W10" s="297"/>
      <c r="X10" s="310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311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51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2491.0500000000002</v>
      </c>
      <c r="D14" s="1">
        <v>483.68</v>
      </c>
      <c r="E14" s="1">
        <v>1612.27</v>
      </c>
      <c r="F14" s="1">
        <v>1337.28</v>
      </c>
      <c r="G14" s="1">
        <v>510.71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199" t="s">
        <v>191</v>
      </c>
      <c r="U14" s="200"/>
      <c r="V14" s="199" t="s">
        <v>191</v>
      </c>
      <c r="W14" s="200"/>
      <c r="X14" s="22">
        <v>-0.7</v>
      </c>
      <c r="Y14" s="341">
        <v>1513.46</v>
      </c>
      <c r="Z14" s="341"/>
      <c r="AA14" s="341">
        <v>120092.49</v>
      </c>
      <c r="AB14" s="341"/>
    </row>
    <row r="15" spans="1:30" ht="15.75" thickBot="1" x14ac:dyDescent="0.3">
      <c r="A15" s="491"/>
      <c r="B15" s="14" t="s">
        <v>21</v>
      </c>
      <c r="C15" s="39">
        <v>4982.09</v>
      </c>
      <c r="D15" s="10">
        <v>967.36</v>
      </c>
      <c r="E15" s="1">
        <v>1612.27</v>
      </c>
      <c r="F15" s="1">
        <v>2674.55</v>
      </c>
      <c r="G15" s="1">
        <v>1021.42</v>
      </c>
      <c r="H15" s="199">
        <v>1703.36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199" t="s">
        <v>191</v>
      </c>
      <c r="U15" s="200"/>
      <c r="V15" s="199" t="s">
        <v>191</v>
      </c>
      <c r="W15" s="200"/>
      <c r="X15" s="22">
        <v>-0.4</v>
      </c>
      <c r="Y15" s="341">
        <v>4.13</v>
      </c>
      <c r="Z15" s="341"/>
      <c r="AA15" s="341">
        <v>26669.37</v>
      </c>
      <c r="AB15" s="341"/>
    </row>
    <row r="16" spans="1:30" ht="15.75" thickBot="1" x14ac:dyDescent="0.3">
      <c r="A16" s="491"/>
      <c r="B16" s="14" t="s">
        <v>24</v>
      </c>
      <c r="C16" s="39">
        <v>7057.97</v>
      </c>
      <c r="D16" s="1">
        <v>1370.43</v>
      </c>
      <c r="E16" s="1">
        <v>1612.27</v>
      </c>
      <c r="F16" s="1">
        <v>3788.95</v>
      </c>
      <c r="G16" s="1">
        <v>1447.01</v>
      </c>
      <c r="H16" s="199">
        <v>1704.36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199" t="s">
        <v>191</v>
      </c>
      <c r="U16" s="200"/>
      <c r="V16" s="199" t="s">
        <v>191</v>
      </c>
      <c r="W16" s="200"/>
      <c r="X16" s="22">
        <v>-0.15</v>
      </c>
      <c r="Y16" s="341">
        <v>3961.68</v>
      </c>
      <c r="Z16" s="341"/>
      <c r="AA16" s="341">
        <v>3051.11</v>
      </c>
      <c r="AB16" s="341"/>
    </row>
    <row r="17" spans="1:28" ht="15.75" thickBot="1" x14ac:dyDescent="0.3">
      <c r="A17" s="491"/>
      <c r="B17" s="14" t="s">
        <v>22</v>
      </c>
      <c r="C17" s="39">
        <v>8303.49</v>
      </c>
      <c r="D17" s="1">
        <v>1612.27</v>
      </c>
      <c r="E17" s="1">
        <v>1612.27</v>
      </c>
      <c r="F17" s="1">
        <v>4457.59</v>
      </c>
      <c r="G17" s="1">
        <v>1702.36</v>
      </c>
      <c r="H17" s="199">
        <v>1705.36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199" t="s">
        <v>191</v>
      </c>
      <c r="U17" s="200"/>
      <c r="V17" s="199" t="s">
        <v>191</v>
      </c>
      <c r="W17" s="200"/>
      <c r="X17" s="22">
        <v>0</v>
      </c>
      <c r="Y17" s="296">
        <v>5479.27</v>
      </c>
      <c r="Z17" s="297"/>
      <c r="AA17" s="296">
        <v>149812.97</v>
      </c>
      <c r="AB17" s="297"/>
    </row>
    <row r="18" spans="1:28" ht="15.75" thickBot="1" x14ac:dyDescent="0.3">
      <c r="A18" s="491"/>
      <c r="B18" s="21" t="s">
        <v>23</v>
      </c>
      <c r="C18" s="39">
        <v>12455.24</v>
      </c>
      <c r="D18" s="22">
        <v>2418.41</v>
      </c>
      <c r="E18" s="22">
        <v>2418.41</v>
      </c>
      <c r="F18" s="22">
        <v>6686.39</v>
      </c>
      <c r="G18" s="22">
        <v>2553.54</v>
      </c>
      <c r="H18" s="308">
        <v>2553.54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199" t="s">
        <v>191</v>
      </c>
      <c r="U18" s="200"/>
      <c r="V18" s="199" t="s">
        <v>191</v>
      </c>
      <c r="W18" s="200"/>
      <c r="X18" s="22">
        <v>0.5</v>
      </c>
      <c r="Y18" s="519"/>
      <c r="Z18" s="520"/>
      <c r="AA18" s="519"/>
      <c r="AB18" s="520"/>
    </row>
    <row r="19" spans="1:28" ht="15" customHeight="1" x14ac:dyDescent="0.25">
      <c r="A19" s="491"/>
      <c r="B19" s="351" t="s">
        <v>26</v>
      </c>
      <c r="C19" s="215">
        <v>13285.58</v>
      </c>
      <c r="D19" s="215">
        <v>2579.63</v>
      </c>
      <c r="E19" s="215">
        <v>2579.63</v>
      </c>
      <c r="F19" s="215">
        <v>7132.14</v>
      </c>
      <c r="G19" s="215">
        <v>2723.78</v>
      </c>
      <c r="H19" s="207">
        <v>2723.78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 t="s">
        <v>191</v>
      </c>
      <c r="U19" s="297"/>
      <c r="V19" s="296" t="s">
        <v>191</v>
      </c>
      <c r="W19" s="297"/>
      <c r="X19" s="310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311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51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2491.0500000000002</v>
      </c>
      <c r="D23" s="1">
        <v>483.68</v>
      </c>
      <c r="E23" s="1">
        <v>1612.27</v>
      </c>
      <c r="F23" s="1">
        <v>1337.28</v>
      </c>
      <c r="G23" s="1">
        <v>510.71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199" t="s">
        <v>191</v>
      </c>
      <c r="U23" s="200"/>
      <c r="V23" s="199" t="s">
        <v>191</v>
      </c>
      <c r="W23" s="200"/>
      <c r="X23" s="22">
        <v>-0.7</v>
      </c>
      <c r="Y23" s="341">
        <v>1513.46</v>
      </c>
      <c r="Z23" s="341"/>
      <c r="AA23" s="341">
        <v>120092.49</v>
      </c>
      <c r="AB23" s="341"/>
    </row>
    <row r="24" spans="1:28" ht="15.75" thickBot="1" x14ac:dyDescent="0.3">
      <c r="A24" s="491"/>
      <c r="B24" s="14" t="s">
        <v>21</v>
      </c>
      <c r="C24" s="39">
        <v>4982.09</v>
      </c>
      <c r="D24" s="10">
        <v>967.36</v>
      </c>
      <c r="E24" s="1">
        <v>1612.27</v>
      </c>
      <c r="F24" s="1">
        <v>2674.55</v>
      </c>
      <c r="G24" s="1">
        <v>1021.42</v>
      </c>
      <c r="H24" s="199">
        <v>1703.36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199" t="s">
        <v>191</v>
      </c>
      <c r="U24" s="200"/>
      <c r="V24" s="199" t="s">
        <v>191</v>
      </c>
      <c r="W24" s="200"/>
      <c r="X24" s="22">
        <v>-0.4</v>
      </c>
      <c r="Y24" s="341">
        <v>4.13</v>
      </c>
      <c r="Z24" s="341"/>
      <c r="AA24" s="341">
        <v>26669.37</v>
      </c>
      <c r="AB24" s="341"/>
    </row>
    <row r="25" spans="1:28" ht="15.75" thickBot="1" x14ac:dyDescent="0.3">
      <c r="A25" s="491"/>
      <c r="B25" s="14" t="s">
        <v>24</v>
      </c>
      <c r="C25" s="39">
        <v>7057.97</v>
      </c>
      <c r="D25" s="1">
        <v>1370.43</v>
      </c>
      <c r="E25" s="1">
        <v>1612.27</v>
      </c>
      <c r="F25" s="1">
        <v>3788.95</v>
      </c>
      <c r="G25" s="1">
        <v>1447.01</v>
      </c>
      <c r="H25" s="199">
        <v>1704.36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199" t="s">
        <v>191</v>
      </c>
      <c r="U25" s="200"/>
      <c r="V25" s="199" t="s">
        <v>191</v>
      </c>
      <c r="W25" s="200"/>
      <c r="X25" s="22">
        <v>-0.15</v>
      </c>
      <c r="Y25" s="341">
        <v>3961.68</v>
      </c>
      <c r="Z25" s="341"/>
      <c r="AA25" s="341">
        <v>3051.11</v>
      </c>
      <c r="AB25" s="341"/>
    </row>
    <row r="26" spans="1:28" ht="15.75" thickBot="1" x14ac:dyDescent="0.3">
      <c r="A26" s="491"/>
      <c r="B26" s="14" t="s">
        <v>22</v>
      </c>
      <c r="C26" s="39">
        <v>8303.49</v>
      </c>
      <c r="D26" s="1">
        <v>1612.27</v>
      </c>
      <c r="E26" s="1">
        <v>1612.27</v>
      </c>
      <c r="F26" s="1">
        <v>4457.59</v>
      </c>
      <c r="G26" s="1">
        <v>1702.36</v>
      </c>
      <c r="H26" s="199">
        <v>1705.36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199" t="s">
        <v>191</v>
      </c>
      <c r="U26" s="200"/>
      <c r="V26" s="199" t="s">
        <v>191</v>
      </c>
      <c r="W26" s="200"/>
      <c r="X26" s="22">
        <v>0</v>
      </c>
      <c r="Y26" s="296">
        <v>5479.27</v>
      </c>
      <c r="Z26" s="297"/>
      <c r="AA26" s="296">
        <v>149812.97</v>
      </c>
      <c r="AB26" s="297"/>
    </row>
    <row r="27" spans="1:28" ht="15.75" thickBot="1" x14ac:dyDescent="0.3">
      <c r="A27" s="491"/>
      <c r="B27" s="21" t="s">
        <v>23</v>
      </c>
      <c r="C27" s="39">
        <v>12455.24</v>
      </c>
      <c r="D27" s="22">
        <v>2418.41</v>
      </c>
      <c r="E27" s="22">
        <v>2418.41</v>
      </c>
      <c r="F27" s="22">
        <v>6686.39</v>
      </c>
      <c r="G27" s="22">
        <v>2553.54</v>
      </c>
      <c r="H27" s="308">
        <v>2553.54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199" t="s">
        <v>191</v>
      </c>
      <c r="U27" s="200"/>
      <c r="V27" s="199" t="s">
        <v>191</v>
      </c>
      <c r="W27" s="200"/>
      <c r="X27" s="22">
        <v>0.5</v>
      </c>
      <c r="Y27" s="519"/>
      <c r="Z27" s="520"/>
      <c r="AA27" s="519"/>
      <c r="AB27" s="520"/>
    </row>
    <row r="28" spans="1:28" ht="15" customHeight="1" x14ac:dyDescent="0.25">
      <c r="A28" s="491"/>
      <c r="B28" s="351" t="s">
        <v>26</v>
      </c>
      <c r="C28" s="215">
        <v>13285.58</v>
      </c>
      <c r="D28" s="215">
        <v>2579.63</v>
      </c>
      <c r="E28" s="215">
        <v>2579.63</v>
      </c>
      <c r="F28" s="215">
        <v>7132.14</v>
      </c>
      <c r="G28" s="215">
        <v>2723.78</v>
      </c>
      <c r="H28" s="207">
        <v>2723.78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 t="s">
        <v>191</v>
      </c>
      <c r="U28" s="297"/>
      <c r="V28" s="296" t="s">
        <v>191</v>
      </c>
      <c r="W28" s="297"/>
      <c r="X28" s="310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311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51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2491.0500000000002</v>
      </c>
      <c r="D32" s="1">
        <v>483.68</v>
      </c>
      <c r="E32" s="1">
        <v>1612.27</v>
      </c>
      <c r="F32" s="1">
        <v>1337.28</v>
      </c>
      <c r="G32" s="1">
        <v>510.71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199" t="s">
        <v>191</v>
      </c>
      <c r="U32" s="200"/>
      <c r="V32" s="199" t="s">
        <v>191</v>
      </c>
      <c r="W32" s="200"/>
      <c r="X32" s="22">
        <v>-0.7</v>
      </c>
      <c r="Y32" s="341">
        <v>1513.46</v>
      </c>
      <c r="Z32" s="341"/>
      <c r="AA32" s="341">
        <v>120092.49</v>
      </c>
      <c r="AB32" s="341"/>
    </row>
    <row r="33" spans="1:28" ht="15.75" thickBot="1" x14ac:dyDescent="0.3">
      <c r="A33" s="491"/>
      <c r="B33" s="14" t="s">
        <v>21</v>
      </c>
      <c r="C33" s="39">
        <v>4982.09</v>
      </c>
      <c r="D33" s="10">
        <v>967.36</v>
      </c>
      <c r="E33" s="1">
        <v>1612.27</v>
      </c>
      <c r="F33" s="1">
        <v>2674.55</v>
      </c>
      <c r="G33" s="1">
        <v>1021.42</v>
      </c>
      <c r="H33" s="199">
        <v>1703.36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199" t="s">
        <v>191</v>
      </c>
      <c r="U33" s="200"/>
      <c r="V33" s="199" t="s">
        <v>191</v>
      </c>
      <c r="W33" s="200"/>
      <c r="X33" s="22">
        <v>-0.4</v>
      </c>
      <c r="Y33" s="341">
        <v>4.13</v>
      </c>
      <c r="Z33" s="341"/>
      <c r="AA33" s="341">
        <v>26669.37</v>
      </c>
      <c r="AB33" s="341"/>
    </row>
    <row r="34" spans="1:28" ht="15.75" thickBot="1" x14ac:dyDescent="0.3">
      <c r="A34" s="491"/>
      <c r="B34" s="14" t="s">
        <v>24</v>
      </c>
      <c r="C34" s="39">
        <v>7057.97</v>
      </c>
      <c r="D34" s="1">
        <v>1370.43</v>
      </c>
      <c r="E34" s="1">
        <v>1612.27</v>
      </c>
      <c r="F34" s="1">
        <v>3788.95</v>
      </c>
      <c r="G34" s="1">
        <v>1447.01</v>
      </c>
      <c r="H34" s="199">
        <v>1704.36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199" t="s">
        <v>191</v>
      </c>
      <c r="U34" s="200"/>
      <c r="V34" s="199" t="s">
        <v>191</v>
      </c>
      <c r="W34" s="200"/>
      <c r="X34" s="22">
        <v>-0.15</v>
      </c>
      <c r="Y34" s="341">
        <v>3961.68</v>
      </c>
      <c r="Z34" s="341"/>
      <c r="AA34" s="341">
        <v>3051.11</v>
      </c>
      <c r="AB34" s="341"/>
    </row>
    <row r="35" spans="1:28" ht="15.75" thickBot="1" x14ac:dyDescent="0.3">
      <c r="A35" s="491"/>
      <c r="B35" s="14" t="s">
        <v>22</v>
      </c>
      <c r="C35" s="39">
        <v>8303.49</v>
      </c>
      <c r="D35" s="1">
        <v>1612.27</v>
      </c>
      <c r="E35" s="1">
        <v>1612.27</v>
      </c>
      <c r="F35" s="1">
        <v>4457.59</v>
      </c>
      <c r="G35" s="1">
        <v>1702.36</v>
      </c>
      <c r="H35" s="199">
        <v>1705.36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199" t="s">
        <v>191</v>
      </c>
      <c r="U35" s="200"/>
      <c r="V35" s="199" t="s">
        <v>191</v>
      </c>
      <c r="W35" s="200"/>
      <c r="X35" s="22">
        <v>0</v>
      </c>
      <c r="Y35" s="296">
        <v>5479.27</v>
      </c>
      <c r="Z35" s="297"/>
      <c r="AA35" s="296">
        <v>149812.97</v>
      </c>
      <c r="AB35" s="297"/>
    </row>
    <row r="36" spans="1:28" ht="15.75" thickBot="1" x14ac:dyDescent="0.3">
      <c r="A36" s="491"/>
      <c r="B36" s="21" t="s">
        <v>23</v>
      </c>
      <c r="C36" s="39">
        <v>12455.24</v>
      </c>
      <c r="D36" s="22">
        <v>2418.41</v>
      </c>
      <c r="E36" s="22">
        <v>2418.41</v>
      </c>
      <c r="F36" s="22">
        <v>6686.39</v>
      </c>
      <c r="G36" s="22">
        <v>2553.54</v>
      </c>
      <c r="H36" s="308">
        <v>2553.54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199" t="s">
        <v>191</v>
      </c>
      <c r="U36" s="200"/>
      <c r="V36" s="199" t="s">
        <v>191</v>
      </c>
      <c r="W36" s="200"/>
      <c r="X36" s="22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13285.58</v>
      </c>
      <c r="D37" s="215">
        <v>2579.63</v>
      </c>
      <c r="E37" s="215">
        <v>2579.63</v>
      </c>
      <c r="F37" s="215">
        <v>7132.14</v>
      </c>
      <c r="G37" s="215">
        <v>2723.78</v>
      </c>
      <c r="H37" s="207">
        <v>2723.78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 t="s">
        <v>191</v>
      </c>
      <c r="U37" s="297"/>
      <c r="V37" s="296" t="s">
        <v>191</v>
      </c>
      <c r="W37" s="297"/>
      <c r="X37" s="310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311"/>
      <c r="Y38" s="298"/>
      <c r="Z38" s="299"/>
      <c r="AA38" s="298"/>
      <c r="AB38" s="299"/>
    </row>
    <row r="39" spans="1:28" ht="15.75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  <row r="49" spans="2:2" x14ac:dyDescent="0.25">
      <c r="B49" t="s">
        <v>178</v>
      </c>
    </row>
    <row r="50" spans="2:2" x14ac:dyDescent="0.25">
      <c r="B50" s="57" t="s">
        <v>184</v>
      </c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X37:X38"/>
    <mergeCell ref="Y8:Z11"/>
    <mergeCell ref="AA8:AB11"/>
    <mergeCell ref="Y17:Z20"/>
    <mergeCell ref="AA17:AB20"/>
    <mergeCell ref="Y26:Z29"/>
    <mergeCell ref="AA26:AB29"/>
    <mergeCell ref="Y35:Z38"/>
    <mergeCell ref="AA35:AB38"/>
    <mergeCell ref="X10:X11"/>
    <mergeCell ref="X12:X13"/>
    <mergeCell ref="Y12:Z13"/>
    <mergeCell ref="AA12:AB13"/>
    <mergeCell ref="Y14:Z14"/>
    <mergeCell ref="AA14:AB14"/>
    <mergeCell ref="Y15:Z15"/>
    <mergeCell ref="AA15:AB15"/>
    <mergeCell ref="Y16:Z16"/>
    <mergeCell ref="AA16:AB16"/>
    <mergeCell ref="X19:X20"/>
    <mergeCell ref="X21:X22"/>
    <mergeCell ref="Y21:Z22"/>
    <mergeCell ref="AA21:AB22"/>
    <mergeCell ref="X28:X29"/>
    <mergeCell ref="A1:W1"/>
    <mergeCell ref="B2:E2"/>
    <mergeCell ref="F2:I2"/>
    <mergeCell ref="J2:O2"/>
    <mergeCell ref="P2:S2"/>
    <mergeCell ref="T2:W2"/>
    <mergeCell ref="P5:Q5"/>
    <mergeCell ref="H6:I6"/>
    <mergeCell ref="P6:Q6"/>
    <mergeCell ref="A3:A11"/>
    <mergeCell ref="B3:B4"/>
    <mergeCell ref="C3:C4"/>
    <mergeCell ref="D3:E3"/>
    <mergeCell ref="F3:F4"/>
    <mergeCell ref="V8:W8"/>
    <mergeCell ref="T9:U9"/>
    <mergeCell ref="V9:W9"/>
    <mergeCell ref="H7:I7"/>
    <mergeCell ref="P7:Q7"/>
    <mergeCell ref="J3:L3"/>
    <mergeCell ref="M3:O3"/>
    <mergeCell ref="P3:Q4"/>
    <mergeCell ref="R3:S3"/>
    <mergeCell ref="T3:W4"/>
    <mergeCell ref="H4:I4"/>
    <mergeCell ref="G3:I3"/>
    <mergeCell ref="H5:I5"/>
    <mergeCell ref="T5:U5"/>
    <mergeCell ref="V5:W5"/>
    <mergeCell ref="T6:U6"/>
    <mergeCell ref="V6:W6"/>
    <mergeCell ref="T7:U7"/>
    <mergeCell ref="V7:W7"/>
    <mergeCell ref="P8:Q8"/>
    <mergeCell ref="H9:I9"/>
    <mergeCell ref="P9:Q9"/>
    <mergeCell ref="B10:B11"/>
    <mergeCell ref="C10:C11"/>
    <mergeCell ref="D10:D11"/>
    <mergeCell ref="E10:E11"/>
    <mergeCell ref="F10:F11"/>
    <mergeCell ref="H8:I8"/>
    <mergeCell ref="G10:G11"/>
    <mergeCell ref="H10:I11"/>
    <mergeCell ref="K10:K11"/>
    <mergeCell ref="L10:L11"/>
    <mergeCell ref="T8:U8"/>
    <mergeCell ref="A12:A20"/>
    <mergeCell ref="B12:B13"/>
    <mergeCell ref="C12:C13"/>
    <mergeCell ref="D12:E12"/>
    <mergeCell ref="F12:F13"/>
    <mergeCell ref="G12:I12"/>
    <mergeCell ref="H16:I16"/>
    <mergeCell ref="H18:I18"/>
    <mergeCell ref="M12:O12"/>
    <mergeCell ref="J12:L12"/>
    <mergeCell ref="P12:Q13"/>
    <mergeCell ref="R12:S12"/>
    <mergeCell ref="T12:W13"/>
    <mergeCell ref="H13:I13"/>
    <mergeCell ref="P10:Q11"/>
    <mergeCell ref="R10:R11"/>
    <mergeCell ref="S10:S11"/>
    <mergeCell ref="M10:M11"/>
    <mergeCell ref="N10:N11"/>
    <mergeCell ref="O10:O11"/>
    <mergeCell ref="T10:U11"/>
    <mergeCell ref="V10:W11"/>
    <mergeCell ref="J10:J11"/>
    <mergeCell ref="P16:Q16"/>
    <mergeCell ref="H17:I17"/>
    <mergeCell ref="P17:Q17"/>
    <mergeCell ref="H14:I14"/>
    <mergeCell ref="P14:Q14"/>
    <mergeCell ref="H15:I15"/>
    <mergeCell ref="P15:Q15"/>
    <mergeCell ref="T14:U14"/>
    <mergeCell ref="V14:W14"/>
    <mergeCell ref="T15:U15"/>
    <mergeCell ref="V15:W15"/>
    <mergeCell ref="T16:U16"/>
    <mergeCell ref="V16:W16"/>
    <mergeCell ref="T17:U17"/>
    <mergeCell ref="V17:W17"/>
    <mergeCell ref="T19:U20"/>
    <mergeCell ref="V19:W20"/>
    <mergeCell ref="P18:Q18"/>
    <mergeCell ref="B19:B20"/>
    <mergeCell ref="C19:C20"/>
    <mergeCell ref="D19:D20"/>
    <mergeCell ref="E19:E20"/>
    <mergeCell ref="F19:F20"/>
    <mergeCell ref="G19:G20"/>
    <mergeCell ref="H19:I20"/>
    <mergeCell ref="T18:U18"/>
    <mergeCell ref="V18:W18"/>
    <mergeCell ref="P19:Q20"/>
    <mergeCell ref="R19:R20"/>
    <mergeCell ref="S19:S20"/>
    <mergeCell ref="J19:J20"/>
    <mergeCell ref="K19:K20"/>
    <mergeCell ref="L19:L20"/>
    <mergeCell ref="M19:M20"/>
    <mergeCell ref="N19:N20"/>
    <mergeCell ref="O19:O20"/>
    <mergeCell ref="P23:Q23"/>
    <mergeCell ref="H24:I24"/>
    <mergeCell ref="P24:Q24"/>
    <mergeCell ref="J21:L21"/>
    <mergeCell ref="M21:O21"/>
    <mergeCell ref="P21:Q22"/>
    <mergeCell ref="R21:S21"/>
    <mergeCell ref="T21:W22"/>
    <mergeCell ref="H22:I22"/>
    <mergeCell ref="G21:I21"/>
    <mergeCell ref="P27:Q27"/>
    <mergeCell ref="B28:B29"/>
    <mergeCell ref="C28:C29"/>
    <mergeCell ref="D28:D29"/>
    <mergeCell ref="E28:E29"/>
    <mergeCell ref="F28:F29"/>
    <mergeCell ref="G28:G29"/>
    <mergeCell ref="H28:I29"/>
    <mergeCell ref="H25:I25"/>
    <mergeCell ref="P25:Q25"/>
    <mergeCell ref="H26:I26"/>
    <mergeCell ref="P26:Q26"/>
    <mergeCell ref="A30:A38"/>
    <mergeCell ref="B30:B31"/>
    <mergeCell ref="C30:C31"/>
    <mergeCell ref="D30:E30"/>
    <mergeCell ref="F30:F31"/>
    <mergeCell ref="G30:I30"/>
    <mergeCell ref="J28:J29"/>
    <mergeCell ref="K28:K29"/>
    <mergeCell ref="L28:L29"/>
    <mergeCell ref="A21:A29"/>
    <mergeCell ref="B21:B22"/>
    <mergeCell ref="C21:C22"/>
    <mergeCell ref="D21:E21"/>
    <mergeCell ref="F21:F22"/>
    <mergeCell ref="J30:L30"/>
    <mergeCell ref="H34:I34"/>
    <mergeCell ref="H36:I36"/>
    <mergeCell ref="H27:I27"/>
    <mergeCell ref="H23:I23"/>
    <mergeCell ref="B37:B38"/>
    <mergeCell ref="C37:C38"/>
    <mergeCell ref="D37:D38"/>
    <mergeCell ref="E37:E38"/>
    <mergeCell ref="F37:F38"/>
    <mergeCell ref="M30:O30"/>
    <mergeCell ref="P30:Q31"/>
    <mergeCell ref="R30:S30"/>
    <mergeCell ref="T30:W31"/>
    <mergeCell ref="H31:I31"/>
    <mergeCell ref="P28:Q29"/>
    <mergeCell ref="R28:R29"/>
    <mergeCell ref="S28:S29"/>
    <mergeCell ref="M28:M29"/>
    <mergeCell ref="N28:N29"/>
    <mergeCell ref="O28:O29"/>
    <mergeCell ref="H32:I32"/>
    <mergeCell ref="P32:Q32"/>
    <mergeCell ref="H33:I33"/>
    <mergeCell ref="P33:Q33"/>
    <mergeCell ref="T33:U33"/>
    <mergeCell ref="V33:W33"/>
    <mergeCell ref="T34:U34"/>
    <mergeCell ref="V34:W34"/>
    <mergeCell ref="T35:U35"/>
    <mergeCell ref="V35:W35"/>
    <mergeCell ref="L37:L38"/>
    <mergeCell ref="M37:M38"/>
    <mergeCell ref="N37:N38"/>
    <mergeCell ref="O37:O38"/>
    <mergeCell ref="T36:U36"/>
    <mergeCell ref="P36:Q36"/>
    <mergeCell ref="P34:Q34"/>
    <mergeCell ref="H35:I35"/>
    <mergeCell ref="P35:Q35"/>
    <mergeCell ref="G37:G38"/>
    <mergeCell ref="H37:I38"/>
    <mergeCell ref="P37:Q38"/>
    <mergeCell ref="T32:U32"/>
    <mergeCell ref="V32:W32"/>
    <mergeCell ref="T37:U38"/>
    <mergeCell ref="V37:W38"/>
    <mergeCell ref="T23:U23"/>
    <mergeCell ref="V23:W23"/>
    <mergeCell ref="T24:U24"/>
    <mergeCell ref="V24:W24"/>
    <mergeCell ref="T25:U25"/>
    <mergeCell ref="V25:W25"/>
    <mergeCell ref="T26:U26"/>
    <mergeCell ref="V26:W26"/>
    <mergeCell ref="T27:U27"/>
    <mergeCell ref="V27:W27"/>
    <mergeCell ref="T28:U29"/>
    <mergeCell ref="V28:W29"/>
    <mergeCell ref="V36:W36"/>
    <mergeCell ref="R37:R38"/>
    <mergeCell ref="S37:S38"/>
    <mergeCell ref="J37:J38"/>
    <mergeCell ref="K37:K38"/>
    <mergeCell ref="X30:X31"/>
    <mergeCell ref="Y30:Z31"/>
    <mergeCell ref="AA30:AB31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32:Z32"/>
    <mergeCell ref="AA32:AB32"/>
    <mergeCell ref="Y33:Z33"/>
    <mergeCell ref="AA33:AB33"/>
    <mergeCell ref="Y34:Z34"/>
    <mergeCell ref="Y23:Z23"/>
    <mergeCell ref="AA23:AB23"/>
    <mergeCell ref="Y24:Z24"/>
    <mergeCell ref="AA24:AB24"/>
    <mergeCell ref="Y25:Z25"/>
    <mergeCell ref="AA25:AB25"/>
    <mergeCell ref="AA34:AB34"/>
  </mergeCells>
  <conditionalFormatting sqref="B5:E5 C6:C9 B14 B23 B32 E6:E8">
    <cfRule type="expression" dxfId="1486" priority="322">
      <formula>#REF!=1</formula>
    </cfRule>
  </conditionalFormatting>
  <conditionalFormatting sqref="B6 D6 B15 B24 B33">
    <cfRule type="expression" dxfId="1485" priority="321">
      <formula>#REF!=2</formula>
    </cfRule>
  </conditionalFormatting>
  <conditionalFormatting sqref="B7 D7 B16 B25 B34">
    <cfRule type="expression" dxfId="1484" priority="320">
      <formula>#REF!=3</formula>
    </cfRule>
  </conditionalFormatting>
  <conditionalFormatting sqref="B8 D8 B17 B26 B35">
    <cfRule type="expression" dxfId="1483" priority="319">
      <formula>#REF!=4</formula>
    </cfRule>
  </conditionalFormatting>
  <conditionalFormatting sqref="B9 D9:E9 B18 B27 B36">
    <cfRule type="expression" dxfId="1482" priority="318">
      <formula>#REF!=5</formula>
    </cfRule>
  </conditionalFormatting>
  <conditionalFormatting sqref="B10:D10 B19 B28 B37">
    <cfRule type="expression" dxfId="1481" priority="317">
      <formula>#REF!=6</formula>
    </cfRule>
  </conditionalFormatting>
  <conditionalFormatting sqref="D4 D13 D22 D31">
    <cfRule type="expression" dxfId="1480" priority="316">
      <formula>#REF!&gt;0</formula>
    </cfRule>
  </conditionalFormatting>
  <conditionalFormatting sqref="E4 E13 E22 E31">
    <cfRule type="expression" dxfId="1479" priority="315">
      <formula>#REF!&gt;0</formula>
    </cfRule>
  </conditionalFormatting>
  <conditionalFormatting sqref="F5:H5 H6:H8">
    <cfRule type="expression" dxfId="1478" priority="314">
      <formula>#REF!=1</formula>
    </cfRule>
  </conditionalFormatting>
  <conditionalFormatting sqref="F6:G6">
    <cfRule type="expression" dxfId="1477" priority="313">
      <formula>#REF!=2</formula>
    </cfRule>
  </conditionalFormatting>
  <conditionalFormatting sqref="F7:G7">
    <cfRule type="expression" dxfId="1476" priority="312">
      <formula>#REF!=3</formula>
    </cfRule>
  </conditionalFormatting>
  <conditionalFormatting sqref="F8:G8">
    <cfRule type="expression" dxfId="1475" priority="311">
      <formula>#REF!=4</formula>
    </cfRule>
  </conditionalFormatting>
  <conditionalFormatting sqref="F9:H9">
    <cfRule type="expression" dxfId="1474" priority="310">
      <formula>#REF!=5</formula>
    </cfRule>
  </conditionalFormatting>
  <conditionalFormatting sqref="F10:G10">
    <cfRule type="expression" dxfId="1473" priority="309">
      <formula>#REF!=6</formula>
    </cfRule>
  </conditionalFormatting>
  <conditionalFormatting sqref="G4 G13 G22 G31">
    <cfRule type="expression" dxfId="1472" priority="308">
      <formula>#REF!&gt;0</formula>
    </cfRule>
  </conditionalFormatting>
  <conditionalFormatting sqref="H4 H13 H22 H31">
    <cfRule type="expression" dxfId="1471" priority="307">
      <formula>#REF!&gt;0</formula>
    </cfRule>
  </conditionalFormatting>
  <conditionalFormatting sqref="H10">
    <cfRule type="expression" dxfId="1470" priority="306">
      <formula>#REF!=6</formula>
    </cfRule>
  </conditionalFormatting>
  <conditionalFormatting sqref="M4">
    <cfRule type="expression" dxfId="1469" priority="296">
      <formula>AND($F$29=$G$26,$K$26&gt;=130)</formula>
    </cfRule>
  </conditionalFormatting>
  <conditionalFormatting sqref="N4">
    <cfRule type="expression" dxfId="1468" priority="295">
      <formula>AND($G$29=$G$26,$K$26&gt;=130)</formula>
    </cfRule>
  </conditionalFormatting>
  <conditionalFormatting sqref="O4">
    <cfRule type="expression" dxfId="1467" priority="294">
      <formula>AND($H$29=$G$26,$K$26&gt;=130)</formula>
    </cfRule>
  </conditionalFormatting>
  <conditionalFormatting sqref="M13">
    <cfRule type="expression" dxfId="1466" priority="272">
      <formula>AND($F$29=$G$26,$K$26&gt;=130)</formula>
    </cfRule>
  </conditionalFormatting>
  <conditionalFormatting sqref="N13">
    <cfRule type="expression" dxfId="1465" priority="271">
      <formula>AND($G$29=$G$26,$K$26&gt;=130)</formula>
    </cfRule>
  </conditionalFormatting>
  <conditionalFormatting sqref="O13">
    <cfRule type="expression" dxfId="1464" priority="270">
      <formula>AND($H$29=$G$26,$K$26&gt;=130)</formula>
    </cfRule>
  </conditionalFormatting>
  <conditionalFormatting sqref="M22">
    <cfRule type="expression" dxfId="1463" priority="266">
      <formula>AND($F$29=$G$26,$K$26&gt;=130)</formula>
    </cfRule>
  </conditionalFormatting>
  <conditionalFormatting sqref="N22">
    <cfRule type="expression" dxfId="1462" priority="265">
      <formula>AND($G$29=$G$26,$K$26&gt;=130)</formula>
    </cfRule>
  </conditionalFormatting>
  <conditionalFormatting sqref="O22">
    <cfRule type="expression" dxfId="1461" priority="264">
      <formula>AND($H$29=$G$26,$K$26&gt;=130)</formula>
    </cfRule>
  </conditionalFormatting>
  <conditionalFormatting sqref="M31">
    <cfRule type="expression" dxfId="1460" priority="260">
      <formula>AND($F$29=$G$26,$K$26&gt;=130)</formula>
    </cfRule>
  </conditionalFormatting>
  <conditionalFormatting sqref="N31">
    <cfRule type="expression" dxfId="1459" priority="259">
      <formula>AND($G$29=$G$26,$K$26&gt;=130)</formula>
    </cfRule>
  </conditionalFormatting>
  <conditionalFormatting sqref="O31">
    <cfRule type="expression" dxfId="1458" priority="258">
      <formula>AND($H$29=$G$26,$K$26&gt;=130)</formula>
    </cfRule>
  </conditionalFormatting>
  <conditionalFormatting sqref="S4">
    <cfRule type="expression" dxfId="1457" priority="247">
      <formula>$J$45&gt;0</formula>
    </cfRule>
  </conditionalFormatting>
  <conditionalFormatting sqref="R4">
    <cfRule type="expression" dxfId="1456" priority="246">
      <formula>$J$42&gt;0</formula>
    </cfRule>
  </conditionalFormatting>
  <conditionalFormatting sqref="S13">
    <cfRule type="expression" dxfId="1455" priority="197">
      <formula>$J$45&gt;0</formula>
    </cfRule>
  </conditionalFormatting>
  <conditionalFormatting sqref="R13">
    <cfRule type="expression" dxfId="1454" priority="196">
      <formula>$J$42&gt;0</formula>
    </cfRule>
  </conditionalFormatting>
  <conditionalFormatting sqref="S22">
    <cfRule type="expression" dxfId="1453" priority="195">
      <formula>$J$45&gt;0</formula>
    </cfRule>
  </conditionalFormatting>
  <conditionalFormatting sqref="R22">
    <cfRule type="expression" dxfId="1452" priority="194">
      <formula>$J$42&gt;0</formula>
    </cfRule>
  </conditionalFormatting>
  <conditionalFormatting sqref="S31">
    <cfRule type="expression" dxfId="1451" priority="193">
      <formula>$J$45&gt;0</formula>
    </cfRule>
  </conditionalFormatting>
  <conditionalFormatting sqref="R31">
    <cfRule type="expression" dxfId="1450" priority="192">
      <formula>$J$42&gt;0</formula>
    </cfRule>
  </conditionalFormatting>
  <conditionalFormatting sqref="E10">
    <cfRule type="expression" dxfId="1449" priority="179">
      <formula>#REF!=6</formula>
    </cfRule>
  </conditionalFormatting>
  <conditionalFormatting sqref="C14:E14 C15:C18 E15:E17">
    <cfRule type="expression" dxfId="1448" priority="178">
      <formula>#REF!=1</formula>
    </cfRule>
  </conditionalFormatting>
  <conditionalFormatting sqref="D15">
    <cfRule type="expression" dxfId="1447" priority="177">
      <formula>#REF!=2</formula>
    </cfRule>
  </conditionalFormatting>
  <conditionalFormatting sqref="D16">
    <cfRule type="expression" dxfId="1446" priority="176">
      <formula>#REF!=3</formula>
    </cfRule>
  </conditionalFormatting>
  <conditionalFormatting sqref="D17">
    <cfRule type="expression" dxfId="1445" priority="175">
      <formula>#REF!=4</formula>
    </cfRule>
  </conditionalFormatting>
  <conditionalFormatting sqref="D18:E18">
    <cfRule type="expression" dxfId="1444" priority="174">
      <formula>#REF!=5</formula>
    </cfRule>
  </conditionalFormatting>
  <conditionalFormatting sqref="C19:D19">
    <cfRule type="expression" dxfId="1443" priority="173">
      <formula>#REF!=6</formula>
    </cfRule>
  </conditionalFormatting>
  <conditionalFormatting sqref="F14:H14 H15:H17">
    <cfRule type="expression" dxfId="1442" priority="172">
      <formula>#REF!=1</formula>
    </cfRule>
  </conditionalFormatting>
  <conditionalFormatting sqref="F15:G15">
    <cfRule type="expression" dxfId="1441" priority="171">
      <formula>#REF!=2</formula>
    </cfRule>
  </conditionalFormatting>
  <conditionalFormatting sqref="F16:G16">
    <cfRule type="expression" dxfId="1440" priority="170">
      <formula>#REF!=3</formula>
    </cfRule>
  </conditionalFormatting>
  <conditionalFormatting sqref="F17:G17">
    <cfRule type="expression" dxfId="1439" priority="169">
      <formula>#REF!=4</formula>
    </cfRule>
  </conditionalFormatting>
  <conditionalFormatting sqref="F18:H18">
    <cfRule type="expression" dxfId="1438" priority="168">
      <formula>#REF!=5</formula>
    </cfRule>
  </conditionalFormatting>
  <conditionalFormatting sqref="F19:G19">
    <cfRule type="expression" dxfId="1437" priority="167">
      <formula>#REF!=6</formula>
    </cfRule>
  </conditionalFormatting>
  <conditionalFormatting sqref="H19">
    <cfRule type="expression" dxfId="1436" priority="166">
      <formula>#REF!=6</formula>
    </cfRule>
  </conditionalFormatting>
  <conditionalFormatting sqref="E19">
    <cfRule type="expression" dxfId="1435" priority="165">
      <formula>#REF!=6</formula>
    </cfRule>
  </conditionalFormatting>
  <conditionalFormatting sqref="C23:E23 C24:C27 E24:E26">
    <cfRule type="expression" dxfId="1434" priority="164">
      <formula>#REF!=1</formula>
    </cfRule>
  </conditionalFormatting>
  <conditionalFormatting sqref="D24">
    <cfRule type="expression" dxfId="1433" priority="163">
      <formula>#REF!=2</formula>
    </cfRule>
  </conditionalFormatting>
  <conditionalFormatting sqref="D25">
    <cfRule type="expression" dxfId="1432" priority="162">
      <formula>#REF!=3</formula>
    </cfRule>
  </conditionalFormatting>
  <conditionalFormatting sqref="D26">
    <cfRule type="expression" dxfId="1431" priority="161">
      <formula>#REF!=4</formula>
    </cfRule>
  </conditionalFormatting>
  <conditionalFormatting sqref="D27:E27">
    <cfRule type="expression" dxfId="1430" priority="160">
      <formula>#REF!=5</formula>
    </cfRule>
  </conditionalFormatting>
  <conditionalFormatting sqref="C28:D28">
    <cfRule type="expression" dxfId="1429" priority="159">
      <formula>#REF!=6</formula>
    </cfRule>
  </conditionalFormatting>
  <conditionalFormatting sqref="F23:H23 H24:H26">
    <cfRule type="expression" dxfId="1428" priority="158">
      <formula>#REF!=1</formula>
    </cfRule>
  </conditionalFormatting>
  <conditionalFormatting sqref="F24:G24">
    <cfRule type="expression" dxfId="1427" priority="157">
      <formula>#REF!=2</formula>
    </cfRule>
  </conditionalFormatting>
  <conditionalFormatting sqref="F25:G25">
    <cfRule type="expression" dxfId="1426" priority="156">
      <formula>#REF!=3</formula>
    </cfRule>
  </conditionalFormatting>
  <conditionalFormatting sqref="F26:G26">
    <cfRule type="expression" dxfId="1425" priority="155">
      <formula>#REF!=4</formula>
    </cfRule>
  </conditionalFormatting>
  <conditionalFormatting sqref="F27:H27">
    <cfRule type="expression" dxfId="1424" priority="154">
      <formula>#REF!=5</formula>
    </cfRule>
  </conditionalFormatting>
  <conditionalFormatting sqref="F28:G28">
    <cfRule type="expression" dxfId="1423" priority="153">
      <formula>#REF!=6</formula>
    </cfRule>
  </conditionalFormatting>
  <conditionalFormatting sqref="H28">
    <cfRule type="expression" dxfId="1422" priority="152">
      <formula>#REF!=6</formula>
    </cfRule>
  </conditionalFormatting>
  <conditionalFormatting sqref="E28">
    <cfRule type="expression" dxfId="1421" priority="151">
      <formula>#REF!=6</formula>
    </cfRule>
  </conditionalFormatting>
  <conditionalFormatting sqref="C32:E32 C33:C36 E33:E35">
    <cfRule type="expression" dxfId="1420" priority="150">
      <formula>#REF!=1</formula>
    </cfRule>
  </conditionalFormatting>
  <conditionalFormatting sqref="D33">
    <cfRule type="expression" dxfId="1419" priority="149">
      <formula>#REF!=2</formula>
    </cfRule>
  </conditionalFormatting>
  <conditionalFormatting sqref="D34">
    <cfRule type="expression" dxfId="1418" priority="148">
      <formula>#REF!=3</formula>
    </cfRule>
  </conditionalFormatting>
  <conditionalFormatting sqref="D35">
    <cfRule type="expression" dxfId="1417" priority="147">
      <formula>#REF!=4</formula>
    </cfRule>
  </conditionalFormatting>
  <conditionalFormatting sqref="D36:E36">
    <cfRule type="expression" dxfId="1416" priority="146">
      <formula>#REF!=5</formula>
    </cfRule>
  </conditionalFormatting>
  <conditionalFormatting sqref="C37:D37">
    <cfRule type="expression" dxfId="1415" priority="145">
      <formula>#REF!=6</formula>
    </cfRule>
  </conditionalFormatting>
  <conditionalFormatting sqref="F32:H32 H33:H35">
    <cfRule type="expression" dxfId="1414" priority="144">
      <formula>#REF!=1</formula>
    </cfRule>
  </conditionalFormatting>
  <conditionalFormatting sqref="F33:G33">
    <cfRule type="expression" dxfId="1413" priority="143">
      <formula>#REF!=2</formula>
    </cfRule>
  </conditionalFormatting>
  <conditionalFormatting sqref="F34:G34">
    <cfRule type="expression" dxfId="1412" priority="142">
      <formula>#REF!=3</formula>
    </cfRule>
  </conditionalFormatting>
  <conditionalFormatting sqref="F35:G35">
    <cfRule type="expression" dxfId="1411" priority="141">
      <formula>#REF!=4</formula>
    </cfRule>
  </conditionalFormatting>
  <conditionalFormatting sqref="F36:H36">
    <cfRule type="expression" dxfId="1410" priority="140">
      <formula>#REF!=5</formula>
    </cfRule>
  </conditionalFormatting>
  <conditionalFormatting sqref="F37:G37">
    <cfRule type="expression" dxfId="1409" priority="139">
      <formula>#REF!=6</formula>
    </cfRule>
  </conditionalFormatting>
  <conditionalFormatting sqref="H37">
    <cfRule type="expression" dxfId="1408" priority="138">
      <formula>#REF!=6</formula>
    </cfRule>
  </conditionalFormatting>
  <conditionalFormatting sqref="E37">
    <cfRule type="expression" dxfId="1407" priority="137">
      <formula>#REF!=6</formula>
    </cfRule>
  </conditionalFormatting>
  <conditionalFormatting sqref="K5:N5 L6:L9">
    <cfRule type="expression" dxfId="1406" priority="136">
      <formula>$C$26=1</formula>
    </cfRule>
  </conditionalFormatting>
  <conditionalFormatting sqref="K7">
    <cfRule type="expression" dxfId="1405" priority="135">
      <formula>$C$26=3</formula>
    </cfRule>
  </conditionalFormatting>
  <conditionalFormatting sqref="K9 N9">
    <cfRule type="expression" dxfId="1404" priority="134">
      <formula>$C$26=5</formula>
    </cfRule>
  </conditionalFormatting>
  <conditionalFormatting sqref="M10 K10">
    <cfRule type="expression" dxfId="1403" priority="133">
      <formula>$C$26=6</formula>
    </cfRule>
  </conditionalFormatting>
  <conditionalFormatting sqref="K6">
    <cfRule type="expression" dxfId="1402" priority="132">
      <formula>$C$26=2</formula>
    </cfRule>
  </conditionalFormatting>
  <conditionalFormatting sqref="K8">
    <cfRule type="expression" dxfId="1401" priority="131">
      <formula>$C$26=4</formula>
    </cfRule>
  </conditionalFormatting>
  <conditionalFormatting sqref="M6">
    <cfRule type="expression" dxfId="1400" priority="130">
      <formula>$C$26=1</formula>
    </cfRule>
  </conditionalFormatting>
  <conditionalFormatting sqref="M7">
    <cfRule type="expression" dxfId="1399" priority="129">
      <formula>$C$26=1</formula>
    </cfRule>
  </conditionalFormatting>
  <conditionalFormatting sqref="M8">
    <cfRule type="expression" dxfId="1398" priority="128">
      <formula>$C$26=1</formula>
    </cfRule>
  </conditionalFormatting>
  <conditionalFormatting sqref="N6">
    <cfRule type="expression" dxfId="1397" priority="127">
      <formula>$C$26=1</formula>
    </cfRule>
  </conditionalFormatting>
  <conditionalFormatting sqref="N7">
    <cfRule type="expression" dxfId="1396" priority="126">
      <formula>$C$26=1</formula>
    </cfRule>
  </conditionalFormatting>
  <conditionalFormatting sqref="N8">
    <cfRule type="expression" dxfId="1395" priority="125">
      <formula>$C$26=1</formula>
    </cfRule>
  </conditionalFormatting>
  <conditionalFormatting sqref="K14:N14 L15:L18">
    <cfRule type="expression" dxfId="1394" priority="124">
      <formula>$C$26=1</formula>
    </cfRule>
  </conditionalFormatting>
  <conditionalFormatting sqref="K16 N16">
    <cfRule type="expression" dxfId="1393" priority="123">
      <formula>$C$26=3</formula>
    </cfRule>
  </conditionalFormatting>
  <conditionalFormatting sqref="K18 M18:N18">
    <cfRule type="expression" dxfId="1392" priority="122">
      <formula>$C$26=5</formula>
    </cfRule>
  </conditionalFormatting>
  <conditionalFormatting sqref="M19 K19">
    <cfRule type="expression" dxfId="1391" priority="121">
      <formula>$C$26=6</formula>
    </cfRule>
  </conditionalFormatting>
  <conditionalFormatting sqref="K15 N15">
    <cfRule type="expression" dxfId="1390" priority="120">
      <formula>$C$26=2</formula>
    </cfRule>
  </conditionalFormatting>
  <conditionalFormatting sqref="K17 N17">
    <cfRule type="expression" dxfId="1389" priority="119">
      <formula>$C$26=4</formula>
    </cfRule>
  </conditionalFormatting>
  <conditionalFormatting sqref="M15">
    <cfRule type="expression" dxfId="1388" priority="118">
      <formula>$C$26=1</formula>
    </cfRule>
  </conditionalFormatting>
  <conditionalFormatting sqref="M16">
    <cfRule type="expression" dxfId="1387" priority="117">
      <formula>$C$26=1</formula>
    </cfRule>
  </conditionalFormatting>
  <conditionalFormatting sqref="M17">
    <cfRule type="expression" dxfId="1386" priority="116">
      <formula>$C$26=1</formula>
    </cfRule>
  </conditionalFormatting>
  <conditionalFormatting sqref="K23">
    <cfRule type="expression" dxfId="1385" priority="115">
      <formula>$C$26=1</formula>
    </cfRule>
  </conditionalFormatting>
  <conditionalFormatting sqref="K25">
    <cfRule type="expression" dxfId="1384" priority="114">
      <formula>$C$26=3</formula>
    </cfRule>
  </conditionalFormatting>
  <conditionalFormatting sqref="K27">
    <cfRule type="expression" dxfId="1383" priority="113">
      <formula>$C$26=5</formula>
    </cfRule>
  </conditionalFormatting>
  <conditionalFormatting sqref="K28">
    <cfRule type="expression" dxfId="1382" priority="112">
      <formula>$C$26=6</formula>
    </cfRule>
  </conditionalFormatting>
  <conditionalFormatting sqref="K24">
    <cfRule type="expression" dxfId="1381" priority="111">
      <formula>$C$26=2</formula>
    </cfRule>
  </conditionalFormatting>
  <conditionalFormatting sqref="K26">
    <cfRule type="expression" dxfId="1380" priority="110">
      <formula>$C$26=4</formula>
    </cfRule>
  </conditionalFormatting>
  <conditionalFormatting sqref="L23:N23 L24:L27">
    <cfRule type="expression" dxfId="1379" priority="109">
      <formula>$C$26=1</formula>
    </cfRule>
  </conditionalFormatting>
  <conditionalFormatting sqref="M27:N27">
    <cfRule type="expression" dxfId="1378" priority="108">
      <formula>$C$26=5</formula>
    </cfRule>
  </conditionalFormatting>
  <conditionalFormatting sqref="M28">
    <cfRule type="expression" dxfId="1377" priority="107">
      <formula>$C$26=6</formula>
    </cfRule>
  </conditionalFormatting>
  <conditionalFormatting sqref="N24:N26">
    <cfRule type="expression" dxfId="1376" priority="106">
      <formula>$C$26=2</formula>
    </cfRule>
  </conditionalFormatting>
  <conditionalFormatting sqref="M24">
    <cfRule type="expression" dxfId="1375" priority="105">
      <formula>$C$26=1</formula>
    </cfRule>
  </conditionalFormatting>
  <conditionalFormatting sqref="M25">
    <cfRule type="expression" dxfId="1374" priority="104">
      <formula>$C$26=1</formula>
    </cfRule>
  </conditionalFormatting>
  <conditionalFormatting sqref="M26">
    <cfRule type="expression" dxfId="1373" priority="103">
      <formula>$C$26=1</formula>
    </cfRule>
  </conditionalFormatting>
  <conditionalFormatting sqref="P5:S9">
    <cfRule type="expression" dxfId="1372" priority="101">
      <formula>$C$42=1</formula>
    </cfRule>
  </conditionalFormatting>
  <conditionalFormatting sqref="S10">
    <cfRule type="expression" dxfId="1371" priority="100">
      <formula>$C$26=5</formula>
    </cfRule>
  </conditionalFormatting>
  <conditionalFormatting sqref="R10:S10 P10">
    <cfRule type="expression" dxfId="1370" priority="99">
      <formula>$C$42=6</formula>
    </cfRule>
  </conditionalFormatting>
  <conditionalFormatting sqref="P14:S18">
    <cfRule type="expression" dxfId="1369" priority="98">
      <formula>$C$42=1</formula>
    </cfRule>
  </conditionalFormatting>
  <conditionalFormatting sqref="S19">
    <cfRule type="expression" dxfId="1368" priority="97">
      <formula>$C$26=5</formula>
    </cfRule>
  </conditionalFormatting>
  <conditionalFormatting sqref="R19:S19 P19">
    <cfRule type="expression" dxfId="1367" priority="96">
      <formula>$C$42=6</formula>
    </cfRule>
  </conditionalFormatting>
  <conditionalFormatting sqref="P23:Q23">
    <cfRule type="expression" dxfId="1366" priority="95">
      <formula>$C$42=1</formula>
    </cfRule>
  </conditionalFormatting>
  <conditionalFormatting sqref="P24:Q24">
    <cfRule type="expression" dxfId="1365" priority="94">
      <formula>$C$42=2</formula>
    </cfRule>
  </conditionalFormatting>
  <conditionalFormatting sqref="P25:Q25">
    <cfRule type="expression" dxfId="1364" priority="93">
      <formula>$C$42=3</formula>
    </cfRule>
  </conditionalFormatting>
  <conditionalFormatting sqref="P26:Q26">
    <cfRule type="expression" dxfId="1363" priority="92">
      <formula>$C$42=4</formula>
    </cfRule>
  </conditionalFormatting>
  <conditionalFormatting sqref="P27:Q27">
    <cfRule type="expression" dxfId="1362" priority="91">
      <formula>$C$42=5</formula>
    </cfRule>
  </conditionalFormatting>
  <conditionalFormatting sqref="P28">
    <cfRule type="expression" dxfId="1361" priority="90">
      <formula>$C$42=6</formula>
    </cfRule>
  </conditionalFormatting>
  <conditionalFormatting sqref="R23">
    <cfRule type="expression" dxfId="1360" priority="89">
      <formula>$C$42=1</formula>
    </cfRule>
  </conditionalFormatting>
  <conditionalFormatting sqref="R24">
    <cfRule type="expression" dxfId="1359" priority="88">
      <formula>$C$42=2</formula>
    </cfRule>
  </conditionalFormatting>
  <conditionalFormatting sqref="R25">
    <cfRule type="expression" dxfId="1358" priority="87">
      <formula>$C$42=3</formula>
    </cfRule>
  </conditionalFormatting>
  <conditionalFormatting sqref="R26">
    <cfRule type="expression" dxfId="1357" priority="86">
      <formula>$C$42=4</formula>
    </cfRule>
  </conditionalFormatting>
  <conditionalFormatting sqref="R27">
    <cfRule type="expression" dxfId="1356" priority="85">
      <formula>$C$42=5</formula>
    </cfRule>
  </conditionalFormatting>
  <conditionalFormatting sqref="R28">
    <cfRule type="expression" dxfId="1355" priority="84">
      <formula>$C$42=6</formula>
    </cfRule>
  </conditionalFormatting>
  <conditionalFormatting sqref="S23">
    <cfRule type="expression" dxfId="1354" priority="83">
      <formula>$C$42=1</formula>
    </cfRule>
  </conditionalFormatting>
  <conditionalFormatting sqref="S25">
    <cfRule type="expression" dxfId="1353" priority="82">
      <formula>$C$42=3</formula>
    </cfRule>
  </conditionalFormatting>
  <conditionalFormatting sqref="S27">
    <cfRule type="expression" dxfId="1352" priority="81">
      <formula>$C$42=5</formula>
    </cfRule>
  </conditionalFormatting>
  <conditionalFormatting sqref="S24">
    <cfRule type="expression" dxfId="1351" priority="80">
      <formula>$C$42=2</formula>
    </cfRule>
  </conditionalFormatting>
  <conditionalFormatting sqref="S27:S28">
    <cfRule type="expression" dxfId="1350" priority="79">
      <formula>$C$26=5</formula>
    </cfRule>
  </conditionalFormatting>
  <conditionalFormatting sqref="S26">
    <cfRule type="expression" dxfId="1349" priority="78">
      <formula>$C$42=4</formula>
    </cfRule>
  </conditionalFormatting>
  <conditionalFormatting sqref="S28">
    <cfRule type="expression" dxfId="1348" priority="77">
      <formula>$C$42=6</formula>
    </cfRule>
  </conditionalFormatting>
  <conditionalFormatting sqref="P32:S32">
    <cfRule type="expression" dxfId="1347" priority="76">
      <formula>$C$42=1</formula>
    </cfRule>
  </conditionalFormatting>
  <conditionalFormatting sqref="P34:S35">
    <cfRule type="expression" dxfId="1346" priority="75">
      <formula>$C$42=3</formula>
    </cfRule>
  </conditionalFormatting>
  <conditionalFormatting sqref="P36:S36">
    <cfRule type="expression" dxfId="1345" priority="74">
      <formula>$C$42=5</formula>
    </cfRule>
  </conditionalFormatting>
  <conditionalFormatting sqref="P33:S33">
    <cfRule type="expression" dxfId="1344" priority="73">
      <formula>$C$42=2</formula>
    </cfRule>
  </conditionalFormatting>
  <conditionalFormatting sqref="S36:S37">
    <cfRule type="expression" dxfId="1343" priority="72">
      <formula>$C$26=5</formula>
    </cfRule>
  </conditionalFormatting>
  <conditionalFormatting sqref="R37:S37 P37">
    <cfRule type="expression" dxfId="1342" priority="71">
      <formula>$C$42=6</formula>
    </cfRule>
  </conditionalFormatting>
  <conditionalFormatting sqref="V10 T5 T10">
    <cfRule type="expression" dxfId="1341" priority="66">
      <formula>$C$58=1</formula>
    </cfRule>
  </conditionalFormatting>
  <conditionalFormatting sqref="V9">
    <cfRule type="expression" dxfId="1340" priority="65">
      <formula>$C$58=1</formula>
    </cfRule>
  </conditionalFormatting>
  <conditionalFormatting sqref="T6:T9">
    <cfRule type="expression" dxfId="1339" priority="60">
      <formula>$C$58=1</formula>
    </cfRule>
  </conditionalFormatting>
  <conditionalFormatting sqref="V5:V8">
    <cfRule type="expression" dxfId="1338" priority="59">
      <formula>$C$58=1</formula>
    </cfRule>
  </conditionalFormatting>
  <conditionalFormatting sqref="V19 T14 T19">
    <cfRule type="expression" dxfId="1337" priority="58">
      <formula>$C$58=1</formula>
    </cfRule>
  </conditionalFormatting>
  <conditionalFormatting sqref="V18">
    <cfRule type="expression" dxfId="1336" priority="57">
      <formula>$C$58=1</formula>
    </cfRule>
  </conditionalFormatting>
  <conditionalFormatting sqref="T15:T18">
    <cfRule type="expression" dxfId="1335" priority="56">
      <formula>$C$58=1</formula>
    </cfRule>
  </conditionalFormatting>
  <conditionalFormatting sqref="V14:V17">
    <cfRule type="expression" dxfId="1334" priority="55">
      <formula>$C$58=1</formula>
    </cfRule>
  </conditionalFormatting>
  <conditionalFormatting sqref="V28 T23 T28">
    <cfRule type="expression" dxfId="1333" priority="54">
      <formula>$C$58=1</formula>
    </cfRule>
  </conditionalFormatting>
  <conditionalFormatting sqref="V27">
    <cfRule type="expression" dxfId="1332" priority="53">
      <formula>$C$58=1</formula>
    </cfRule>
  </conditionalFormatting>
  <conditionalFormatting sqref="T24:T27">
    <cfRule type="expression" dxfId="1331" priority="52">
      <formula>$C$58=1</formula>
    </cfRule>
  </conditionalFormatting>
  <conditionalFormatting sqref="V23:V26">
    <cfRule type="expression" dxfId="1330" priority="51">
      <formula>$C$58=1</formula>
    </cfRule>
  </conditionalFormatting>
  <conditionalFormatting sqref="V37 T32 T37">
    <cfRule type="expression" dxfId="1329" priority="50">
      <formula>$C$58=1</formula>
    </cfRule>
  </conditionalFormatting>
  <conditionalFormatting sqref="V36">
    <cfRule type="expression" dxfId="1328" priority="49">
      <formula>$C$58=1</formula>
    </cfRule>
  </conditionalFormatting>
  <conditionalFormatting sqref="T33:T36">
    <cfRule type="expression" dxfId="1327" priority="48">
      <formula>$C$58=1</formula>
    </cfRule>
  </conditionalFormatting>
  <conditionalFormatting sqref="V32:V35">
    <cfRule type="expression" dxfId="1326" priority="47">
      <formula>$C$58=1</formula>
    </cfRule>
  </conditionalFormatting>
  <conditionalFormatting sqref="M37 K37">
    <cfRule type="expression" dxfId="1325" priority="46">
      <formula>$C$26=6</formula>
    </cfRule>
  </conditionalFormatting>
  <conditionalFormatting sqref="B41">
    <cfRule type="expression" dxfId="1324" priority="45">
      <formula>#REF!=1</formula>
    </cfRule>
  </conditionalFormatting>
  <conditionalFormatting sqref="B42">
    <cfRule type="expression" dxfId="1323" priority="44">
      <formula>#REF!=2</formula>
    </cfRule>
  </conditionalFormatting>
  <conditionalFormatting sqref="B43">
    <cfRule type="expression" dxfId="1322" priority="43">
      <formula>#REF!=3</formula>
    </cfRule>
  </conditionalFormatting>
  <conditionalFormatting sqref="B44">
    <cfRule type="expression" dxfId="1321" priority="42">
      <formula>#REF!=4</formula>
    </cfRule>
  </conditionalFormatting>
  <conditionalFormatting sqref="B45">
    <cfRule type="expression" dxfId="1320" priority="41">
      <formula>#REF!=5</formula>
    </cfRule>
  </conditionalFormatting>
  <conditionalFormatting sqref="B46">
    <cfRule type="expression" dxfId="1319" priority="40">
      <formula>#REF!=6</formula>
    </cfRule>
  </conditionalFormatting>
  <conditionalFormatting sqref="D40">
    <cfRule type="expression" dxfId="1318" priority="39">
      <formula>#REF!&gt;0</formula>
    </cfRule>
  </conditionalFormatting>
  <conditionalFormatting sqref="E40">
    <cfRule type="expression" dxfId="1317" priority="38">
      <formula>#REF!&gt;0</formula>
    </cfRule>
  </conditionalFormatting>
  <conditionalFormatting sqref="G40">
    <cfRule type="expression" dxfId="1316" priority="37">
      <formula>#REF!&gt;0</formula>
    </cfRule>
  </conditionalFormatting>
  <conditionalFormatting sqref="H40">
    <cfRule type="expression" dxfId="1315" priority="36">
      <formula>#REF!&gt;0</formula>
    </cfRule>
  </conditionalFormatting>
  <conditionalFormatting sqref="M40">
    <cfRule type="expression" dxfId="1314" priority="35">
      <formula>AND($F$29=$G$26,$K$26&gt;=130)</formula>
    </cfRule>
  </conditionalFormatting>
  <conditionalFormatting sqref="N40">
    <cfRule type="expression" dxfId="1313" priority="34">
      <formula>AND($G$29=$G$26,$K$26&gt;=130)</formula>
    </cfRule>
  </conditionalFormatting>
  <conditionalFormatting sqref="O40">
    <cfRule type="expression" dxfId="1312" priority="33">
      <formula>AND($H$29=$G$26,$K$26&gt;=130)</formula>
    </cfRule>
  </conditionalFormatting>
  <conditionalFormatting sqref="S40">
    <cfRule type="expression" dxfId="1311" priority="32">
      <formula>$J$45&gt;0</formula>
    </cfRule>
  </conditionalFormatting>
  <conditionalFormatting sqref="R40">
    <cfRule type="expression" dxfId="1310" priority="31">
      <formula>$J$42&gt;0</formula>
    </cfRule>
  </conditionalFormatting>
  <conditionalFormatting sqref="C41:E41 C42:C45 E42:E44">
    <cfRule type="expression" dxfId="1309" priority="30">
      <formula>#REF!=1</formula>
    </cfRule>
  </conditionalFormatting>
  <conditionalFormatting sqref="D42">
    <cfRule type="expression" dxfId="1308" priority="29">
      <formula>#REF!=2</formula>
    </cfRule>
  </conditionalFormatting>
  <conditionalFormatting sqref="D43">
    <cfRule type="expression" dxfId="1307" priority="28">
      <formula>#REF!=3</formula>
    </cfRule>
  </conditionalFormatting>
  <conditionalFormatting sqref="D44">
    <cfRule type="expression" dxfId="1306" priority="27">
      <formula>#REF!=4</formula>
    </cfRule>
  </conditionalFormatting>
  <conditionalFormatting sqref="D45:E45">
    <cfRule type="expression" dxfId="1305" priority="26">
      <formula>#REF!=5</formula>
    </cfRule>
  </conditionalFormatting>
  <conditionalFormatting sqref="C46:D46">
    <cfRule type="expression" dxfId="1304" priority="25">
      <formula>#REF!=6</formula>
    </cfRule>
  </conditionalFormatting>
  <conditionalFormatting sqref="F41:H41 H42:H44">
    <cfRule type="expression" dxfId="1303" priority="24">
      <formula>#REF!=1</formula>
    </cfRule>
  </conditionalFormatting>
  <conditionalFormatting sqref="F42:G42">
    <cfRule type="expression" dxfId="1302" priority="23">
      <formula>#REF!=2</formula>
    </cfRule>
  </conditionalFormatting>
  <conditionalFormatting sqref="F43:G43">
    <cfRule type="expression" dxfId="1301" priority="22">
      <formula>#REF!=3</formula>
    </cfRule>
  </conditionalFormatting>
  <conditionalFormatting sqref="F44:G44">
    <cfRule type="expression" dxfId="1300" priority="21">
      <formula>#REF!=4</formula>
    </cfRule>
  </conditionalFormatting>
  <conditionalFormatting sqref="F45:H45">
    <cfRule type="expression" dxfId="1299" priority="20">
      <formula>#REF!=5</formula>
    </cfRule>
  </conditionalFormatting>
  <conditionalFormatting sqref="F46:G46">
    <cfRule type="expression" dxfId="1298" priority="19">
      <formula>#REF!=6</formula>
    </cfRule>
  </conditionalFormatting>
  <conditionalFormatting sqref="H46">
    <cfRule type="expression" dxfId="1297" priority="18">
      <formula>#REF!=6</formula>
    </cfRule>
  </conditionalFormatting>
  <conditionalFormatting sqref="E46">
    <cfRule type="expression" dxfId="1296" priority="17">
      <formula>#REF!=6</formula>
    </cfRule>
  </conditionalFormatting>
  <conditionalFormatting sqref="V46 T41 T46">
    <cfRule type="expression" dxfId="1295" priority="10">
      <formula>$C$58=1</formula>
    </cfRule>
  </conditionalFormatting>
  <conditionalFormatting sqref="V45">
    <cfRule type="expression" dxfId="1294" priority="9">
      <formula>$C$58=1</formula>
    </cfRule>
  </conditionalFormatting>
  <conditionalFormatting sqref="T42:T45">
    <cfRule type="expression" dxfId="1293" priority="8">
      <formula>$C$58=1</formula>
    </cfRule>
  </conditionalFormatting>
  <conditionalFormatting sqref="V41:V44">
    <cfRule type="expression" dxfId="1292" priority="7">
      <formula>$C$58=1</formula>
    </cfRule>
  </conditionalFormatting>
  <conditionalFormatting sqref="M46 K46">
    <cfRule type="expression" dxfId="1291" priority="6">
      <formula>$C$26=6</formula>
    </cfRule>
  </conditionalFormatting>
  <conditionalFormatting sqref="P41:Q41">
    <cfRule type="expression" dxfId="1290" priority="5">
      <formula>$C$42=1</formula>
    </cfRule>
  </conditionalFormatting>
  <conditionalFormatting sqref="P43:Q44">
    <cfRule type="expression" dxfId="1289" priority="4">
      <formula>$C$42=3</formula>
    </cfRule>
  </conditionalFormatting>
  <conditionalFormatting sqref="P45:Q45">
    <cfRule type="expression" dxfId="1288" priority="3">
      <formula>$C$42=5</formula>
    </cfRule>
  </conditionalFormatting>
  <conditionalFormatting sqref="P42:Q42">
    <cfRule type="expression" dxfId="1287" priority="2">
      <formula>$C$42=2</formula>
    </cfRule>
  </conditionalFormatting>
  <conditionalFormatting sqref="P46">
    <cfRule type="expression" dxfId="1286" priority="1">
      <formula>$C$42=6</formula>
    </cfRule>
  </conditionalFormatting>
  <hyperlinks>
    <hyperlink ref="B50" r:id="rId1" xr:uid="{00000000-0004-0000-0300-000000000000}"/>
    <hyperlink ref="AD3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D47"/>
  <sheetViews>
    <sheetView topLeftCell="H28" zoomScaleNormal="100" workbookViewId="0">
      <selection activeCell="S46" sqref="P41:S47"/>
    </sheetView>
  </sheetViews>
  <sheetFormatPr baseColWidth="10" defaultRowHeight="15" x14ac:dyDescent="0.25"/>
  <cols>
    <col min="2" max="2" width="18" customWidth="1"/>
  </cols>
  <sheetData>
    <row r="1" spans="1:30" ht="26.25" thickBot="1" x14ac:dyDescent="0.3">
      <c r="A1" s="511" t="s">
        <v>110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181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161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185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4151.75</v>
      </c>
      <c r="D5" s="1">
        <v>806.14</v>
      </c>
      <c r="E5" s="1">
        <v>1612.27</v>
      </c>
      <c r="F5" s="1">
        <v>2228.8000000000002</v>
      </c>
      <c r="G5" s="1">
        <v>851.18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199" t="s">
        <v>104</v>
      </c>
      <c r="U5" s="200"/>
      <c r="V5" s="199" t="s">
        <v>104</v>
      </c>
      <c r="W5" s="200"/>
      <c r="X5" s="22">
        <v>-0.2</v>
      </c>
      <c r="Y5" s="341">
        <v>4100</v>
      </c>
      <c r="Z5" s="341"/>
      <c r="AA5" s="341">
        <v>112773</v>
      </c>
      <c r="AB5" s="341"/>
    </row>
    <row r="6" spans="1:30" ht="15.75" thickBot="1" x14ac:dyDescent="0.3">
      <c r="A6" s="491"/>
      <c r="B6" s="14" t="s">
        <v>21</v>
      </c>
      <c r="C6" s="39">
        <v>5148.16</v>
      </c>
      <c r="D6" s="10">
        <v>999.61</v>
      </c>
      <c r="E6" s="1">
        <v>1612.27</v>
      </c>
      <c r="F6" s="1">
        <v>2674.55</v>
      </c>
      <c r="G6" s="1">
        <v>1021.42</v>
      </c>
      <c r="H6" s="199">
        <v>1702.36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199" t="s">
        <v>104</v>
      </c>
      <c r="U6" s="200"/>
      <c r="V6" s="199" t="s">
        <v>104</v>
      </c>
      <c r="W6" s="200"/>
      <c r="X6" s="22">
        <v>-0.16</v>
      </c>
      <c r="Y6" s="341">
        <v>1513</v>
      </c>
      <c r="Z6" s="341"/>
      <c r="AA6" s="341">
        <v>26669</v>
      </c>
      <c r="AB6" s="341"/>
    </row>
    <row r="7" spans="1:30" ht="15.75" thickBot="1" x14ac:dyDescent="0.3">
      <c r="A7" s="491"/>
      <c r="B7" s="14" t="s">
        <v>24</v>
      </c>
      <c r="C7" s="39">
        <v>8303.49</v>
      </c>
      <c r="D7" s="1">
        <v>1612.27</v>
      </c>
      <c r="E7" s="1">
        <v>1612.27</v>
      </c>
      <c r="F7" s="1">
        <v>4457.59</v>
      </c>
      <c r="G7" s="1">
        <v>1702.36</v>
      </c>
      <c r="H7" s="199">
        <v>1703.36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199" t="s">
        <v>104</v>
      </c>
      <c r="U7" s="200"/>
      <c r="V7" s="199" t="s">
        <v>104</v>
      </c>
      <c r="W7" s="200"/>
      <c r="X7" s="22">
        <v>-0.06</v>
      </c>
      <c r="Y7" s="341">
        <v>0</v>
      </c>
      <c r="Z7" s="341"/>
      <c r="AA7" s="341">
        <v>3051</v>
      </c>
      <c r="AB7" s="341"/>
    </row>
    <row r="8" spans="1:30" ht="15.75" thickBot="1" x14ac:dyDescent="0.3">
      <c r="A8" s="491"/>
      <c r="B8" s="14" t="s">
        <v>22</v>
      </c>
      <c r="C8" s="39">
        <v>8303.49</v>
      </c>
      <c r="D8" s="1">
        <v>1612.27</v>
      </c>
      <c r="E8" s="1">
        <v>1612.27</v>
      </c>
      <c r="F8" s="1">
        <v>4457.59</v>
      </c>
      <c r="G8" s="1">
        <v>1702.36</v>
      </c>
      <c r="H8" s="199">
        <v>1704.36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199" t="s">
        <v>104</v>
      </c>
      <c r="U8" s="200"/>
      <c r="V8" s="199" t="s">
        <v>104</v>
      </c>
      <c r="W8" s="200"/>
      <c r="X8" s="22">
        <v>0</v>
      </c>
      <c r="Y8" s="296">
        <v>5614</v>
      </c>
      <c r="Z8" s="297"/>
      <c r="AA8" s="296">
        <v>142493</v>
      </c>
      <c r="AB8" s="297"/>
    </row>
    <row r="9" spans="1:30" ht="15.75" thickBot="1" x14ac:dyDescent="0.3">
      <c r="A9" s="491"/>
      <c r="B9" s="21" t="s">
        <v>23</v>
      </c>
      <c r="C9" s="39">
        <v>13534.69</v>
      </c>
      <c r="D9" s="22">
        <v>2628</v>
      </c>
      <c r="E9" s="22">
        <v>2628</v>
      </c>
      <c r="F9" s="22">
        <v>6686.39</v>
      </c>
      <c r="G9" s="22">
        <v>2553.54</v>
      </c>
      <c r="H9" s="308">
        <v>2553.54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199" t="s">
        <v>104</v>
      </c>
      <c r="U9" s="200"/>
      <c r="V9" s="199" t="s">
        <v>104</v>
      </c>
      <c r="W9" s="200"/>
      <c r="X9" s="22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16025.74</v>
      </c>
      <c r="D10" s="215">
        <v>3111.68</v>
      </c>
      <c r="E10" s="215">
        <v>3111.68</v>
      </c>
      <c r="F10" s="215">
        <v>7889.93</v>
      </c>
      <c r="G10" s="215">
        <v>3013.18</v>
      </c>
      <c r="H10" s="207">
        <v>3013.18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 t="s">
        <v>104</v>
      </c>
      <c r="U10" s="297"/>
      <c r="V10" s="296" t="s">
        <v>104</v>
      </c>
      <c r="W10" s="297"/>
      <c r="X10" s="310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311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161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4151.75</v>
      </c>
      <c r="D14" s="1">
        <v>806.14</v>
      </c>
      <c r="E14" s="1">
        <v>1612.27</v>
      </c>
      <c r="F14" s="1">
        <v>2228.8000000000002</v>
      </c>
      <c r="G14" s="1">
        <v>851.18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199" t="s">
        <v>104</v>
      </c>
      <c r="U14" s="200"/>
      <c r="V14" s="199" t="s">
        <v>104</v>
      </c>
      <c r="W14" s="200"/>
      <c r="X14" s="22">
        <v>-0.2</v>
      </c>
      <c r="Y14" s="341">
        <v>4100</v>
      </c>
      <c r="Z14" s="341"/>
      <c r="AA14" s="341">
        <v>112773</v>
      </c>
      <c r="AB14" s="341"/>
    </row>
    <row r="15" spans="1:30" ht="15.75" thickBot="1" x14ac:dyDescent="0.3">
      <c r="A15" s="491"/>
      <c r="B15" s="14" t="s">
        <v>21</v>
      </c>
      <c r="C15" s="39">
        <v>5148.16</v>
      </c>
      <c r="D15" s="10">
        <v>999.61</v>
      </c>
      <c r="E15" s="1">
        <v>1612.27</v>
      </c>
      <c r="F15" s="1">
        <v>2674.55</v>
      </c>
      <c r="G15" s="1">
        <v>1021.42</v>
      </c>
      <c r="H15" s="199">
        <v>1702.36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199" t="s">
        <v>104</v>
      </c>
      <c r="U15" s="200"/>
      <c r="V15" s="199" t="s">
        <v>104</v>
      </c>
      <c r="W15" s="200"/>
      <c r="X15" s="22">
        <v>-0.16</v>
      </c>
      <c r="Y15" s="341">
        <v>1513</v>
      </c>
      <c r="Z15" s="341"/>
      <c r="AA15" s="341">
        <v>26669</v>
      </c>
      <c r="AB15" s="341"/>
    </row>
    <row r="16" spans="1:30" ht="15.75" thickBot="1" x14ac:dyDescent="0.3">
      <c r="A16" s="491"/>
      <c r="B16" s="14" t="s">
        <v>24</v>
      </c>
      <c r="C16" s="39">
        <v>8303.49</v>
      </c>
      <c r="D16" s="1">
        <v>1612.27</v>
      </c>
      <c r="E16" s="1">
        <v>1612.27</v>
      </c>
      <c r="F16" s="1">
        <v>4457.59</v>
      </c>
      <c r="G16" s="1">
        <v>1702.36</v>
      </c>
      <c r="H16" s="199">
        <v>1703.36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199" t="s">
        <v>104</v>
      </c>
      <c r="U16" s="200"/>
      <c r="V16" s="199" t="s">
        <v>104</v>
      </c>
      <c r="W16" s="200"/>
      <c r="X16" s="22">
        <v>-0.06</v>
      </c>
      <c r="Y16" s="341">
        <v>0</v>
      </c>
      <c r="Z16" s="341"/>
      <c r="AA16" s="341">
        <v>3051</v>
      </c>
      <c r="AB16" s="341"/>
    </row>
    <row r="17" spans="1:28" ht="15.75" thickBot="1" x14ac:dyDescent="0.3">
      <c r="A17" s="491"/>
      <c r="B17" s="14" t="s">
        <v>22</v>
      </c>
      <c r="C17" s="39">
        <v>8303.49</v>
      </c>
      <c r="D17" s="1">
        <v>1612.27</v>
      </c>
      <c r="E17" s="1">
        <v>1612.27</v>
      </c>
      <c r="F17" s="1">
        <v>4457.59</v>
      </c>
      <c r="G17" s="1">
        <v>1702.36</v>
      </c>
      <c r="H17" s="199">
        <v>1704.36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199" t="s">
        <v>104</v>
      </c>
      <c r="U17" s="200"/>
      <c r="V17" s="199" t="s">
        <v>104</v>
      </c>
      <c r="W17" s="200"/>
      <c r="X17" s="22">
        <v>0</v>
      </c>
      <c r="Y17" s="296">
        <v>5614</v>
      </c>
      <c r="Z17" s="297"/>
      <c r="AA17" s="296">
        <v>142493</v>
      </c>
      <c r="AB17" s="297"/>
    </row>
    <row r="18" spans="1:28" ht="15.75" thickBot="1" x14ac:dyDescent="0.3">
      <c r="A18" s="491"/>
      <c r="B18" s="21" t="s">
        <v>23</v>
      </c>
      <c r="C18" s="39">
        <v>13534.69</v>
      </c>
      <c r="D18" s="22">
        <v>2628</v>
      </c>
      <c r="E18" s="22">
        <v>2628</v>
      </c>
      <c r="F18" s="22">
        <v>6686.39</v>
      </c>
      <c r="G18" s="22">
        <v>2553.54</v>
      </c>
      <c r="H18" s="308">
        <v>2553.54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199" t="s">
        <v>104</v>
      </c>
      <c r="U18" s="200"/>
      <c r="V18" s="199" t="s">
        <v>104</v>
      </c>
      <c r="W18" s="200"/>
      <c r="X18" s="22">
        <v>0.5</v>
      </c>
      <c r="Y18" s="519"/>
      <c r="Z18" s="520"/>
      <c r="AA18" s="519"/>
      <c r="AB18" s="520"/>
    </row>
    <row r="19" spans="1:28" x14ac:dyDescent="0.25">
      <c r="A19" s="491"/>
      <c r="B19" s="351" t="s">
        <v>26</v>
      </c>
      <c r="C19" s="215">
        <v>16025.74</v>
      </c>
      <c r="D19" s="215">
        <v>3111.68</v>
      </c>
      <c r="E19" s="215">
        <v>3111.68</v>
      </c>
      <c r="F19" s="215">
        <v>7889.93</v>
      </c>
      <c r="G19" s="215">
        <v>3013.18</v>
      </c>
      <c r="H19" s="207">
        <v>3013.18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 t="s">
        <v>104</v>
      </c>
      <c r="U19" s="297"/>
      <c r="V19" s="296" t="s">
        <v>104</v>
      </c>
      <c r="W19" s="297"/>
      <c r="X19" s="310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311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51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4151.75</v>
      </c>
      <c r="D23" s="1">
        <v>806.14</v>
      </c>
      <c r="E23" s="1">
        <v>1612.27</v>
      </c>
      <c r="F23" s="1">
        <v>2228.8000000000002</v>
      </c>
      <c r="G23" s="1">
        <v>851.18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199" t="s">
        <v>104</v>
      </c>
      <c r="U23" s="200"/>
      <c r="V23" s="199" t="s">
        <v>104</v>
      </c>
      <c r="W23" s="200"/>
      <c r="X23" s="22">
        <v>-0.2</v>
      </c>
      <c r="Y23" s="341">
        <v>4100</v>
      </c>
      <c r="Z23" s="341"/>
      <c r="AA23" s="341">
        <v>112773</v>
      </c>
      <c r="AB23" s="341"/>
    </row>
    <row r="24" spans="1:28" ht="15.75" thickBot="1" x14ac:dyDescent="0.3">
      <c r="A24" s="491"/>
      <c r="B24" s="14" t="s">
        <v>21</v>
      </c>
      <c r="C24" s="39">
        <v>5148.16</v>
      </c>
      <c r="D24" s="10">
        <v>999.61</v>
      </c>
      <c r="E24" s="1">
        <v>1612.27</v>
      </c>
      <c r="F24" s="1">
        <v>2674.55</v>
      </c>
      <c r="G24" s="1">
        <v>1021.42</v>
      </c>
      <c r="H24" s="199">
        <v>1702.36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199" t="s">
        <v>104</v>
      </c>
      <c r="U24" s="200"/>
      <c r="V24" s="199" t="s">
        <v>104</v>
      </c>
      <c r="W24" s="200"/>
      <c r="X24" s="22">
        <v>-0.16</v>
      </c>
      <c r="Y24" s="341">
        <v>1513</v>
      </c>
      <c r="Z24" s="341"/>
      <c r="AA24" s="341">
        <v>26669</v>
      </c>
      <c r="AB24" s="341"/>
    </row>
    <row r="25" spans="1:28" ht="15.75" thickBot="1" x14ac:dyDescent="0.3">
      <c r="A25" s="491"/>
      <c r="B25" s="14" t="s">
        <v>24</v>
      </c>
      <c r="C25" s="39">
        <v>8303.49</v>
      </c>
      <c r="D25" s="1">
        <v>1612.27</v>
      </c>
      <c r="E25" s="1">
        <v>1612.27</v>
      </c>
      <c r="F25" s="1">
        <v>4457.59</v>
      </c>
      <c r="G25" s="1">
        <v>1702.36</v>
      </c>
      <c r="H25" s="199">
        <v>1703.36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199" t="s">
        <v>104</v>
      </c>
      <c r="U25" s="200"/>
      <c r="V25" s="199" t="s">
        <v>104</v>
      </c>
      <c r="W25" s="200"/>
      <c r="X25" s="22">
        <v>-0.06</v>
      </c>
      <c r="Y25" s="341">
        <v>0</v>
      </c>
      <c r="Z25" s="341"/>
      <c r="AA25" s="341">
        <v>3051</v>
      </c>
      <c r="AB25" s="341"/>
    </row>
    <row r="26" spans="1:28" ht="15.75" thickBot="1" x14ac:dyDescent="0.3">
      <c r="A26" s="491"/>
      <c r="B26" s="14" t="s">
        <v>22</v>
      </c>
      <c r="C26" s="39">
        <v>8303.49</v>
      </c>
      <c r="D26" s="1">
        <v>1612.27</v>
      </c>
      <c r="E26" s="1">
        <v>1612.27</v>
      </c>
      <c r="F26" s="1">
        <v>4457.59</v>
      </c>
      <c r="G26" s="1">
        <v>1702.36</v>
      </c>
      <c r="H26" s="199">
        <v>1704.36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199" t="s">
        <v>104</v>
      </c>
      <c r="U26" s="200"/>
      <c r="V26" s="199" t="s">
        <v>104</v>
      </c>
      <c r="W26" s="200"/>
      <c r="X26" s="22">
        <v>0</v>
      </c>
      <c r="Y26" s="296">
        <v>5614</v>
      </c>
      <c r="Z26" s="297"/>
      <c r="AA26" s="296">
        <v>142493</v>
      </c>
      <c r="AB26" s="297"/>
    </row>
    <row r="27" spans="1:28" ht="15.75" thickBot="1" x14ac:dyDescent="0.3">
      <c r="A27" s="491"/>
      <c r="B27" s="21" t="s">
        <v>23</v>
      </c>
      <c r="C27" s="39">
        <v>13534.69</v>
      </c>
      <c r="D27" s="22">
        <v>2628</v>
      </c>
      <c r="E27" s="22">
        <v>2628</v>
      </c>
      <c r="F27" s="22">
        <v>6686.39</v>
      </c>
      <c r="G27" s="22">
        <v>2553.54</v>
      </c>
      <c r="H27" s="308">
        <v>2553.54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199" t="s">
        <v>104</v>
      </c>
      <c r="U27" s="200"/>
      <c r="V27" s="199" t="s">
        <v>104</v>
      </c>
      <c r="W27" s="200"/>
      <c r="X27" s="22">
        <v>0.5</v>
      </c>
      <c r="Y27" s="519"/>
      <c r="Z27" s="520"/>
      <c r="AA27" s="519"/>
      <c r="AB27" s="520"/>
    </row>
    <row r="28" spans="1:28" x14ac:dyDescent="0.25">
      <c r="A28" s="491"/>
      <c r="B28" s="351" t="s">
        <v>26</v>
      </c>
      <c r="C28" s="215">
        <v>16025.74</v>
      </c>
      <c r="D28" s="215">
        <v>3111.68</v>
      </c>
      <c r="E28" s="215">
        <v>3111.68</v>
      </c>
      <c r="F28" s="215">
        <v>7889.93</v>
      </c>
      <c r="G28" s="215">
        <v>3013.18</v>
      </c>
      <c r="H28" s="207">
        <v>3013.18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 t="s">
        <v>104</v>
      </c>
      <c r="U28" s="297"/>
      <c r="V28" s="296" t="s">
        <v>104</v>
      </c>
      <c r="W28" s="297"/>
      <c r="X28" s="310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311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51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4151.75</v>
      </c>
      <c r="D32" s="1">
        <v>806.14</v>
      </c>
      <c r="E32" s="1">
        <v>1612.27</v>
      </c>
      <c r="F32" s="1">
        <v>2228.8000000000002</v>
      </c>
      <c r="G32" s="1">
        <v>851.18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199" t="s">
        <v>104</v>
      </c>
      <c r="U32" s="200"/>
      <c r="V32" s="199" t="s">
        <v>104</v>
      </c>
      <c r="W32" s="200"/>
      <c r="X32" s="22">
        <v>-0.2</v>
      </c>
      <c r="Y32" s="341">
        <v>4100</v>
      </c>
      <c r="Z32" s="341"/>
      <c r="AA32" s="341">
        <v>112773</v>
      </c>
      <c r="AB32" s="341"/>
    </row>
    <row r="33" spans="1:28" ht="15.75" thickBot="1" x14ac:dyDescent="0.3">
      <c r="A33" s="491"/>
      <c r="B33" s="14" t="s">
        <v>21</v>
      </c>
      <c r="C33" s="39">
        <v>5148.16</v>
      </c>
      <c r="D33" s="10">
        <v>999.61</v>
      </c>
      <c r="E33" s="1">
        <v>1612.27</v>
      </c>
      <c r="F33" s="1">
        <v>2674.55</v>
      </c>
      <c r="G33" s="1">
        <v>1021.42</v>
      </c>
      <c r="H33" s="199">
        <v>1702.36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199" t="s">
        <v>104</v>
      </c>
      <c r="U33" s="200"/>
      <c r="V33" s="199" t="s">
        <v>104</v>
      </c>
      <c r="W33" s="200"/>
      <c r="X33" s="22">
        <v>-0.16</v>
      </c>
      <c r="Y33" s="341">
        <v>1513</v>
      </c>
      <c r="Z33" s="341"/>
      <c r="AA33" s="341">
        <v>26669</v>
      </c>
      <c r="AB33" s="341"/>
    </row>
    <row r="34" spans="1:28" ht="15.75" thickBot="1" x14ac:dyDescent="0.3">
      <c r="A34" s="491"/>
      <c r="B34" s="14" t="s">
        <v>24</v>
      </c>
      <c r="C34" s="39">
        <v>8303.49</v>
      </c>
      <c r="D34" s="1">
        <v>1612.27</v>
      </c>
      <c r="E34" s="1">
        <v>1612.27</v>
      </c>
      <c r="F34" s="1">
        <v>4457.59</v>
      </c>
      <c r="G34" s="1">
        <v>1702.36</v>
      </c>
      <c r="H34" s="199">
        <v>1703.36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199" t="s">
        <v>104</v>
      </c>
      <c r="U34" s="200"/>
      <c r="V34" s="199" t="s">
        <v>104</v>
      </c>
      <c r="W34" s="200"/>
      <c r="X34" s="22">
        <v>-0.06</v>
      </c>
      <c r="Y34" s="341">
        <v>0</v>
      </c>
      <c r="Z34" s="341"/>
      <c r="AA34" s="341">
        <v>3051</v>
      </c>
      <c r="AB34" s="341"/>
    </row>
    <row r="35" spans="1:28" ht="15.75" thickBot="1" x14ac:dyDescent="0.3">
      <c r="A35" s="491"/>
      <c r="B35" s="14" t="s">
        <v>22</v>
      </c>
      <c r="C35" s="39">
        <v>8303.49</v>
      </c>
      <c r="D35" s="1">
        <v>1612.27</v>
      </c>
      <c r="E35" s="1">
        <v>1612.27</v>
      </c>
      <c r="F35" s="1">
        <v>4457.59</v>
      </c>
      <c r="G35" s="1">
        <v>1702.36</v>
      </c>
      <c r="H35" s="199">
        <v>1704.36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199" t="s">
        <v>104</v>
      </c>
      <c r="U35" s="200"/>
      <c r="V35" s="199" t="s">
        <v>104</v>
      </c>
      <c r="W35" s="200"/>
      <c r="X35" s="22">
        <v>0</v>
      </c>
      <c r="Y35" s="296">
        <v>5614</v>
      </c>
      <c r="Z35" s="297"/>
      <c r="AA35" s="296">
        <v>142493</v>
      </c>
      <c r="AB35" s="297"/>
    </row>
    <row r="36" spans="1:28" ht="15.75" thickBot="1" x14ac:dyDescent="0.3">
      <c r="A36" s="491"/>
      <c r="B36" s="21" t="s">
        <v>23</v>
      </c>
      <c r="C36" s="39">
        <v>13534.69</v>
      </c>
      <c r="D36" s="22">
        <v>2628</v>
      </c>
      <c r="E36" s="22">
        <v>2628</v>
      </c>
      <c r="F36" s="22">
        <v>6686.39</v>
      </c>
      <c r="G36" s="22">
        <v>2553.54</v>
      </c>
      <c r="H36" s="308">
        <v>2553.54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199" t="s">
        <v>104</v>
      </c>
      <c r="U36" s="200"/>
      <c r="V36" s="199" t="s">
        <v>104</v>
      </c>
      <c r="W36" s="200"/>
      <c r="X36" s="22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16025.74</v>
      </c>
      <c r="D37" s="215">
        <v>3111.68</v>
      </c>
      <c r="E37" s="215">
        <v>3111.68</v>
      </c>
      <c r="F37" s="215">
        <v>7889.93</v>
      </c>
      <c r="G37" s="215">
        <v>3013.18</v>
      </c>
      <c r="H37" s="207">
        <v>3013.18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 t="s">
        <v>104</v>
      </c>
      <c r="U37" s="297"/>
      <c r="V37" s="296" t="s">
        <v>104</v>
      </c>
      <c r="W37" s="297"/>
      <c r="X37" s="310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311"/>
      <c r="Y38" s="298"/>
      <c r="Z38" s="299"/>
      <c r="AA38" s="298"/>
      <c r="AB38" s="299"/>
    </row>
    <row r="39" spans="1:28" ht="15.75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X37:X38"/>
    <mergeCell ref="Y8:Z11"/>
    <mergeCell ref="AA8:AB11"/>
    <mergeCell ref="Y17:Z20"/>
    <mergeCell ref="AA17:AB20"/>
    <mergeCell ref="Y26:Z29"/>
    <mergeCell ref="AA26:AB29"/>
    <mergeCell ref="Y35:Z38"/>
    <mergeCell ref="AA35:AB38"/>
    <mergeCell ref="X10:X11"/>
    <mergeCell ref="X12:X13"/>
    <mergeCell ref="Y12:Z13"/>
    <mergeCell ref="AA12:AB13"/>
    <mergeCell ref="Y14:Z14"/>
    <mergeCell ref="AA14:AB14"/>
    <mergeCell ref="Y15:Z15"/>
    <mergeCell ref="AA15:AB15"/>
    <mergeCell ref="Y16:Z16"/>
    <mergeCell ref="AA16:AB16"/>
    <mergeCell ref="X19:X20"/>
    <mergeCell ref="X21:X22"/>
    <mergeCell ref="Y21:Z22"/>
    <mergeCell ref="AA21:AB22"/>
    <mergeCell ref="X28:X29"/>
    <mergeCell ref="A1:W1"/>
    <mergeCell ref="B2:E2"/>
    <mergeCell ref="F2:I2"/>
    <mergeCell ref="J2:O2"/>
    <mergeCell ref="P2:S2"/>
    <mergeCell ref="T2:W2"/>
    <mergeCell ref="P5:Q5"/>
    <mergeCell ref="H6:I6"/>
    <mergeCell ref="P6:Q6"/>
    <mergeCell ref="A3:A11"/>
    <mergeCell ref="B3:B4"/>
    <mergeCell ref="C3:C4"/>
    <mergeCell ref="D3:E3"/>
    <mergeCell ref="F3:F4"/>
    <mergeCell ref="B10:B11"/>
    <mergeCell ref="C10:C11"/>
    <mergeCell ref="R10:R11"/>
    <mergeCell ref="S10:S11"/>
    <mergeCell ref="M10:M11"/>
    <mergeCell ref="N10:N11"/>
    <mergeCell ref="O10:O11"/>
    <mergeCell ref="T10:U11"/>
    <mergeCell ref="V10:W11"/>
    <mergeCell ref="J10:J11"/>
    <mergeCell ref="H7:I7"/>
    <mergeCell ref="P7:Q7"/>
    <mergeCell ref="J3:L3"/>
    <mergeCell ref="M3:O3"/>
    <mergeCell ref="P3:Q4"/>
    <mergeCell ref="R3:S3"/>
    <mergeCell ref="T3:W4"/>
    <mergeCell ref="H4:I4"/>
    <mergeCell ref="G3:I3"/>
    <mergeCell ref="H5:I5"/>
    <mergeCell ref="T5:U5"/>
    <mergeCell ref="V5:W5"/>
    <mergeCell ref="T6:U6"/>
    <mergeCell ref="V6:W6"/>
    <mergeCell ref="T7:U7"/>
    <mergeCell ref="V7:W7"/>
    <mergeCell ref="T8:U8"/>
    <mergeCell ref="V8:W8"/>
    <mergeCell ref="T9:U9"/>
    <mergeCell ref="V9:W9"/>
    <mergeCell ref="P8:Q8"/>
    <mergeCell ref="H9:I9"/>
    <mergeCell ref="P9:Q9"/>
    <mergeCell ref="J12:L12"/>
    <mergeCell ref="D10:D11"/>
    <mergeCell ref="E10:E11"/>
    <mergeCell ref="F10:F11"/>
    <mergeCell ref="H8:I8"/>
    <mergeCell ref="G10:G11"/>
    <mergeCell ref="H10:I11"/>
    <mergeCell ref="M12:O12"/>
    <mergeCell ref="P12:Q13"/>
    <mergeCell ref="R12:S12"/>
    <mergeCell ref="T12:W13"/>
    <mergeCell ref="P10:Q11"/>
    <mergeCell ref="K10:K11"/>
    <mergeCell ref="L10:L11"/>
    <mergeCell ref="A12:A20"/>
    <mergeCell ref="B12:B13"/>
    <mergeCell ref="C12:C13"/>
    <mergeCell ref="D12:E12"/>
    <mergeCell ref="F12:F13"/>
    <mergeCell ref="G12:I12"/>
    <mergeCell ref="H16:I16"/>
    <mergeCell ref="H18:I18"/>
    <mergeCell ref="B19:B20"/>
    <mergeCell ref="C19:C20"/>
    <mergeCell ref="H13:I13"/>
    <mergeCell ref="D19:D20"/>
    <mergeCell ref="E19:E20"/>
    <mergeCell ref="F19:F20"/>
    <mergeCell ref="G19:G20"/>
    <mergeCell ref="H19:I20"/>
    <mergeCell ref="V18:W18"/>
    <mergeCell ref="P16:Q16"/>
    <mergeCell ref="H17:I17"/>
    <mergeCell ref="P17:Q17"/>
    <mergeCell ref="H14:I14"/>
    <mergeCell ref="P14:Q14"/>
    <mergeCell ref="H15:I15"/>
    <mergeCell ref="P15:Q15"/>
    <mergeCell ref="T14:U14"/>
    <mergeCell ref="V14:W14"/>
    <mergeCell ref="T15:U15"/>
    <mergeCell ref="V15:W15"/>
    <mergeCell ref="T16:U16"/>
    <mergeCell ref="V16:W16"/>
    <mergeCell ref="T17:U17"/>
    <mergeCell ref="V17:W17"/>
    <mergeCell ref="P18:Q18"/>
    <mergeCell ref="T18:U18"/>
    <mergeCell ref="J19:J20"/>
    <mergeCell ref="K19:K20"/>
    <mergeCell ref="L19:L20"/>
    <mergeCell ref="M19:M20"/>
    <mergeCell ref="N19:N20"/>
    <mergeCell ref="O19:O20"/>
    <mergeCell ref="V25:W25"/>
    <mergeCell ref="H25:I25"/>
    <mergeCell ref="J21:L21"/>
    <mergeCell ref="M21:O21"/>
    <mergeCell ref="P21:Q22"/>
    <mergeCell ref="R21:S21"/>
    <mergeCell ref="T21:W22"/>
    <mergeCell ref="H22:I22"/>
    <mergeCell ref="P25:Q25"/>
    <mergeCell ref="T19:U20"/>
    <mergeCell ref="V19:W20"/>
    <mergeCell ref="P19:Q20"/>
    <mergeCell ref="R19:R20"/>
    <mergeCell ref="S19:S20"/>
    <mergeCell ref="A30:A38"/>
    <mergeCell ref="B30:B31"/>
    <mergeCell ref="C30:C31"/>
    <mergeCell ref="D30:E30"/>
    <mergeCell ref="F30:F31"/>
    <mergeCell ref="G30:I30"/>
    <mergeCell ref="J28:J29"/>
    <mergeCell ref="K28:K29"/>
    <mergeCell ref="L28:L29"/>
    <mergeCell ref="A21:A29"/>
    <mergeCell ref="B21:B22"/>
    <mergeCell ref="C21:C22"/>
    <mergeCell ref="D21:E21"/>
    <mergeCell ref="F21:F22"/>
    <mergeCell ref="J30:L30"/>
    <mergeCell ref="H34:I34"/>
    <mergeCell ref="H26:I26"/>
    <mergeCell ref="H23:I23"/>
    <mergeCell ref="H24:I24"/>
    <mergeCell ref="H36:I36"/>
    <mergeCell ref="G21:I21"/>
    <mergeCell ref="V36:W36"/>
    <mergeCell ref="B28:B29"/>
    <mergeCell ref="C28:C29"/>
    <mergeCell ref="D28:D29"/>
    <mergeCell ref="E28:E29"/>
    <mergeCell ref="F28:F29"/>
    <mergeCell ref="G28:G29"/>
    <mergeCell ref="H28:I29"/>
    <mergeCell ref="T27:U27"/>
    <mergeCell ref="V27:W27"/>
    <mergeCell ref="H27:I27"/>
    <mergeCell ref="M30:O30"/>
    <mergeCell ref="P30:Q31"/>
    <mergeCell ref="R30:S30"/>
    <mergeCell ref="T30:W31"/>
    <mergeCell ref="H31:I31"/>
    <mergeCell ref="P28:Q29"/>
    <mergeCell ref="R28:R29"/>
    <mergeCell ref="S28:S29"/>
    <mergeCell ref="M28:M29"/>
    <mergeCell ref="N28:N29"/>
    <mergeCell ref="O28:O29"/>
    <mergeCell ref="T28:U29"/>
    <mergeCell ref="V28:W29"/>
    <mergeCell ref="P26:Q26"/>
    <mergeCell ref="P23:Q23"/>
    <mergeCell ref="P24:Q24"/>
    <mergeCell ref="T23:U23"/>
    <mergeCell ref="V23:W23"/>
    <mergeCell ref="T24:U24"/>
    <mergeCell ref="V24:W24"/>
    <mergeCell ref="T25:U25"/>
    <mergeCell ref="T26:U26"/>
    <mergeCell ref="V26:W26"/>
    <mergeCell ref="P27:Q27"/>
    <mergeCell ref="V37:W38"/>
    <mergeCell ref="P34:Q34"/>
    <mergeCell ref="H35:I35"/>
    <mergeCell ref="P35:Q35"/>
    <mergeCell ref="H32:I32"/>
    <mergeCell ref="P32:Q32"/>
    <mergeCell ref="H33:I33"/>
    <mergeCell ref="P33:Q33"/>
    <mergeCell ref="T32:U32"/>
    <mergeCell ref="V32:W32"/>
    <mergeCell ref="T33:U33"/>
    <mergeCell ref="V33:W33"/>
    <mergeCell ref="T34:U34"/>
    <mergeCell ref="V34:W34"/>
    <mergeCell ref="T35:U35"/>
    <mergeCell ref="V35:W35"/>
    <mergeCell ref="R37:R38"/>
    <mergeCell ref="S37:S38"/>
    <mergeCell ref="J37:J38"/>
    <mergeCell ref="K37:K38"/>
    <mergeCell ref="L37:L38"/>
    <mergeCell ref="M37:M38"/>
    <mergeCell ref="N37:N38"/>
    <mergeCell ref="O37:O38"/>
    <mergeCell ref="T36:U36"/>
    <mergeCell ref="P36:Q36"/>
    <mergeCell ref="B37:B38"/>
    <mergeCell ref="C37:C38"/>
    <mergeCell ref="D37:D38"/>
    <mergeCell ref="E37:E38"/>
    <mergeCell ref="F37:F38"/>
    <mergeCell ref="G37:G38"/>
    <mergeCell ref="H37:I38"/>
    <mergeCell ref="P37:Q38"/>
    <mergeCell ref="T37:U38"/>
    <mergeCell ref="X30:X31"/>
    <mergeCell ref="Y30:Z31"/>
    <mergeCell ref="AA30:AB31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32:Z32"/>
    <mergeCell ref="AA32:AB32"/>
    <mergeCell ref="Y33:Z33"/>
    <mergeCell ref="AA33:AB33"/>
    <mergeCell ref="Y34:Z34"/>
    <mergeCell ref="Y23:Z23"/>
    <mergeCell ref="AA23:AB23"/>
    <mergeCell ref="Y24:Z24"/>
    <mergeCell ref="AA24:AB24"/>
    <mergeCell ref="Y25:Z25"/>
    <mergeCell ref="AA25:AB25"/>
    <mergeCell ref="AA34:AB34"/>
  </mergeCells>
  <conditionalFormatting sqref="B5:E5 C6:C9 B14 B23 B32 E6:E8">
    <cfRule type="expression" dxfId="1285" priority="300">
      <formula>#REF!=1</formula>
    </cfRule>
  </conditionalFormatting>
  <conditionalFormatting sqref="B6 D6 B15 B24 B33">
    <cfRule type="expression" dxfId="1284" priority="299">
      <formula>#REF!=2</formula>
    </cfRule>
  </conditionalFormatting>
  <conditionalFormatting sqref="B7 D7 B16 B25 B34">
    <cfRule type="expression" dxfId="1283" priority="298">
      <formula>#REF!=3</formula>
    </cfRule>
  </conditionalFormatting>
  <conditionalFormatting sqref="B8 D8 B17 B26 B35">
    <cfRule type="expression" dxfId="1282" priority="297">
      <formula>#REF!=4</formula>
    </cfRule>
  </conditionalFormatting>
  <conditionalFormatting sqref="B9 B18 B27 B36 D9:E9">
    <cfRule type="expression" dxfId="1281" priority="296">
      <formula>#REF!=5</formula>
    </cfRule>
  </conditionalFormatting>
  <conditionalFormatting sqref="B10:D10 B19 B28 B37">
    <cfRule type="expression" dxfId="1280" priority="295">
      <formula>#REF!=6</formula>
    </cfRule>
  </conditionalFormatting>
  <conditionalFormatting sqref="D4 D13 D22 D31">
    <cfRule type="expression" dxfId="1279" priority="294">
      <formula>#REF!&gt;0</formula>
    </cfRule>
  </conditionalFormatting>
  <conditionalFormatting sqref="E4 E13 E22 E31">
    <cfRule type="expression" dxfId="1278" priority="293">
      <formula>#REF!&gt;0</formula>
    </cfRule>
  </conditionalFormatting>
  <conditionalFormatting sqref="F5:H5">
    <cfRule type="expression" dxfId="1277" priority="292">
      <formula>#REF!=1</formula>
    </cfRule>
  </conditionalFormatting>
  <conditionalFormatting sqref="F6:H6 H7:H8">
    <cfRule type="expression" dxfId="1276" priority="291">
      <formula>#REF!=2</formula>
    </cfRule>
  </conditionalFormatting>
  <conditionalFormatting sqref="F7:G7 F8">
    <cfRule type="expression" dxfId="1275" priority="290">
      <formula>#REF!=3</formula>
    </cfRule>
  </conditionalFormatting>
  <conditionalFormatting sqref="G8">
    <cfRule type="expression" dxfId="1274" priority="289">
      <formula>#REF!=4</formula>
    </cfRule>
  </conditionalFormatting>
  <conditionalFormatting sqref="F9:H9">
    <cfRule type="expression" dxfId="1273" priority="288">
      <formula>#REF!=5</formula>
    </cfRule>
  </conditionalFormatting>
  <conditionalFormatting sqref="F10:G10">
    <cfRule type="expression" dxfId="1272" priority="287">
      <formula>#REF!=6</formula>
    </cfRule>
  </conditionalFormatting>
  <conditionalFormatting sqref="G4 G13 G22 G31">
    <cfRule type="expression" dxfId="1271" priority="286">
      <formula>#REF!&gt;0</formula>
    </cfRule>
  </conditionalFormatting>
  <conditionalFormatting sqref="H4 H13 H22 H31">
    <cfRule type="expression" dxfId="1270" priority="285">
      <formula>#REF!&gt;0</formula>
    </cfRule>
  </conditionalFormatting>
  <conditionalFormatting sqref="H10">
    <cfRule type="expression" dxfId="1269" priority="284">
      <formula>#REF!=6</formula>
    </cfRule>
  </conditionalFormatting>
  <conditionalFormatting sqref="M4">
    <cfRule type="expression" dxfId="1268" priority="274">
      <formula>AND($F$29=$G$26,$K$26&gt;=130)</formula>
    </cfRule>
  </conditionalFormatting>
  <conditionalFormatting sqref="N4">
    <cfRule type="expression" dxfId="1267" priority="273">
      <formula>AND($G$29=$G$26,$K$26&gt;=130)</formula>
    </cfRule>
  </conditionalFormatting>
  <conditionalFormatting sqref="O4">
    <cfRule type="expression" dxfId="1266" priority="272">
      <formula>AND($H$29=$G$26,$K$26&gt;=130)</formula>
    </cfRule>
  </conditionalFormatting>
  <conditionalFormatting sqref="M13">
    <cfRule type="expression" dxfId="1265" priority="250">
      <formula>AND($F$29=$G$26,$K$26&gt;=130)</formula>
    </cfRule>
  </conditionalFormatting>
  <conditionalFormatting sqref="N13">
    <cfRule type="expression" dxfId="1264" priority="249">
      <formula>AND($G$29=$G$26,$K$26&gt;=130)</formula>
    </cfRule>
  </conditionalFormatting>
  <conditionalFormatting sqref="O13">
    <cfRule type="expression" dxfId="1263" priority="248">
      <formula>AND($H$29=$G$26,$K$26&gt;=130)</formula>
    </cfRule>
  </conditionalFormatting>
  <conditionalFormatting sqref="M22">
    <cfRule type="expression" dxfId="1262" priority="244">
      <formula>AND($F$29=$G$26,$K$26&gt;=130)</formula>
    </cfRule>
  </conditionalFormatting>
  <conditionalFormatting sqref="N22">
    <cfRule type="expression" dxfId="1261" priority="243">
      <formula>AND($G$29=$G$26,$K$26&gt;=130)</formula>
    </cfRule>
  </conditionalFormatting>
  <conditionalFormatting sqref="O22">
    <cfRule type="expression" dxfId="1260" priority="242">
      <formula>AND($H$29=$G$26,$K$26&gt;=130)</formula>
    </cfRule>
  </conditionalFormatting>
  <conditionalFormatting sqref="M31">
    <cfRule type="expression" dxfId="1259" priority="238">
      <formula>AND($F$29=$G$26,$K$26&gt;=130)</formula>
    </cfRule>
  </conditionalFormatting>
  <conditionalFormatting sqref="N31">
    <cfRule type="expression" dxfId="1258" priority="237">
      <formula>AND($G$29=$G$26,$K$26&gt;=130)</formula>
    </cfRule>
  </conditionalFormatting>
  <conditionalFormatting sqref="O31">
    <cfRule type="expression" dxfId="1257" priority="236">
      <formula>AND($H$29=$G$26,$K$26&gt;=130)</formula>
    </cfRule>
  </conditionalFormatting>
  <conditionalFormatting sqref="S4">
    <cfRule type="expression" dxfId="1256" priority="225">
      <formula>$J$45&gt;0</formula>
    </cfRule>
  </conditionalFormatting>
  <conditionalFormatting sqref="R4">
    <cfRule type="expression" dxfId="1255" priority="224">
      <formula>$J$42&gt;0</formula>
    </cfRule>
  </conditionalFormatting>
  <conditionalFormatting sqref="S13">
    <cfRule type="expression" dxfId="1254" priority="175">
      <formula>$J$45&gt;0</formula>
    </cfRule>
  </conditionalFormatting>
  <conditionalFormatting sqref="R13">
    <cfRule type="expression" dxfId="1253" priority="174">
      <formula>$J$42&gt;0</formula>
    </cfRule>
  </conditionalFormatting>
  <conditionalFormatting sqref="S22">
    <cfRule type="expression" dxfId="1252" priority="173">
      <formula>$J$45&gt;0</formula>
    </cfRule>
  </conditionalFormatting>
  <conditionalFormatting sqref="R22">
    <cfRule type="expression" dxfId="1251" priority="172">
      <formula>$J$42&gt;0</formula>
    </cfRule>
  </conditionalFormatting>
  <conditionalFormatting sqref="S31">
    <cfRule type="expression" dxfId="1250" priority="171">
      <formula>$J$45&gt;0</formula>
    </cfRule>
  </conditionalFormatting>
  <conditionalFormatting sqref="R31">
    <cfRule type="expression" dxfId="1249" priority="170">
      <formula>$J$42&gt;0</formula>
    </cfRule>
  </conditionalFormatting>
  <conditionalFormatting sqref="E10">
    <cfRule type="expression" dxfId="1248" priority="166">
      <formula>#REF!=6</formula>
    </cfRule>
  </conditionalFormatting>
  <conditionalFormatting sqref="C14:E14 C15:C18 E15:E17">
    <cfRule type="expression" dxfId="1247" priority="165">
      <formula>#REF!=1</formula>
    </cfRule>
  </conditionalFormatting>
  <conditionalFormatting sqref="D15">
    <cfRule type="expression" dxfId="1246" priority="164">
      <formula>#REF!=2</formula>
    </cfRule>
  </conditionalFormatting>
  <conditionalFormatting sqref="D16">
    <cfRule type="expression" dxfId="1245" priority="163">
      <formula>#REF!=3</formula>
    </cfRule>
  </conditionalFormatting>
  <conditionalFormatting sqref="D17">
    <cfRule type="expression" dxfId="1244" priority="162">
      <formula>#REF!=4</formula>
    </cfRule>
  </conditionalFormatting>
  <conditionalFormatting sqref="D18:E18">
    <cfRule type="expression" dxfId="1243" priority="161">
      <formula>#REF!=5</formula>
    </cfRule>
  </conditionalFormatting>
  <conditionalFormatting sqref="C19:D19">
    <cfRule type="expression" dxfId="1242" priority="160">
      <formula>#REF!=6</formula>
    </cfRule>
  </conditionalFormatting>
  <conditionalFormatting sqref="F14:H14">
    <cfRule type="expression" dxfId="1241" priority="159">
      <formula>#REF!=1</formula>
    </cfRule>
  </conditionalFormatting>
  <conditionalFormatting sqref="F15:H15 H16:H17">
    <cfRule type="expression" dxfId="1240" priority="158">
      <formula>#REF!=2</formula>
    </cfRule>
  </conditionalFormatting>
  <conditionalFormatting sqref="F16:G16 F17">
    <cfRule type="expression" dxfId="1239" priority="157">
      <formula>#REF!=3</formula>
    </cfRule>
  </conditionalFormatting>
  <conditionalFormatting sqref="G17">
    <cfRule type="expression" dxfId="1238" priority="156">
      <formula>#REF!=4</formula>
    </cfRule>
  </conditionalFormatting>
  <conditionalFormatting sqref="F18:H18">
    <cfRule type="expression" dxfId="1237" priority="155">
      <formula>#REF!=5</formula>
    </cfRule>
  </conditionalFormatting>
  <conditionalFormatting sqref="F19:G19">
    <cfRule type="expression" dxfId="1236" priority="154">
      <formula>#REF!=6</formula>
    </cfRule>
  </conditionalFormatting>
  <conditionalFormatting sqref="H19">
    <cfRule type="expression" dxfId="1235" priority="153">
      <formula>#REF!=6</formula>
    </cfRule>
  </conditionalFormatting>
  <conditionalFormatting sqref="E19">
    <cfRule type="expression" dxfId="1234" priority="152">
      <formula>#REF!=6</formula>
    </cfRule>
  </conditionalFormatting>
  <conditionalFormatting sqref="C23:E23 C24:C27 E24:E26">
    <cfRule type="expression" dxfId="1233" priority="151">
      <formula>#REF!=1</formula>
    </cfRule>
  </conditionalFormatting>
  <conditionalFormatting sqref="D24">
    <cfRule type="expression" dxfId="1232" priority="150">
      <formula>#REF!=2</formula>
    </cfRule>
  </conditionalFormatting>
  <conditionalFormatting sqref="D25">
    <cfRule type="expression" dxfId="1231" priority="149">
      <formula>#REF!=3</formula>
    </cfRule>
  </conditionalFormatting>
  <conditionalFormatting sqref="D26">
    <cfRule type="expression" dxfId="1230" priority="148">
      <formula>#REF!=4</formula>
    </cfRule>
  </conditionalFormatting>
  <conditionalFormatting sqref="D27:E27">
    <cfRule type="expression" dxfId="1229" priority="147">
      <formula>#REF!=5</formula>
    </cfRule>
  </conditionalFormatting>
  <conditionalFormatting sqref="C28:D28">
    <cfRule type="expression" dxfId="1228" priority="146">
      <formula>#REF!=6</formula>
    </cfRule>
  </conditionalFormatting>
  <conditionalFormatting sqref="F23:H23">
    <cfRule type="expression" dxfId="1227" priority="145">
      <formula>#REF!=1</formula>
    </cfRule>
  </conditionalFormatting>
  <conditionalFormatting sqref="F24:H24 H25:H26">
    <cfRule type="expression" dxfId="1226" priority="144">
      <formula>#REF!=2</formula>
    </cfRule>
  </conditionalFormatting>
  <conditionalFormatting sqref="F25:G25 F26">
    <cfRule type="expression" dxfId="1225" priority="143">
      <formula>#REF!=3</formula>
    </cfRule>
  </conditionalFormatting>
  <conditionalFormatting sqref="G26">
    <cfRule type="expression" dxfId="1224" priority="142">
      <formula>#REF!=4</formula>
    </cfRule>
  </conditionalFormatting>
  <conditionalFormatting sqref="F27:H27">
    <cfRule type="expression" dxfId="1223" priority="141">
      <formula>#REF!=5</formula>
    </cfRule>
  </conditionalFormatting>
  <conditionalFormatting sqref="F28:G28">
    <cfRule type="expression" dxfId="1222" priority="140">
      <formula>#REF!=6</formula>
    </cfRule>
  </conditionalFormatting>
  <conditionalFormatting sqref="H28">
    <cfRule type="expression" dxfId="1221" priority="139">
      <formula>#REF!=6</formula>
    </cfRule>
  </conditionalFormatting>
  <conditionalFormatting sqref="E28">
    <cfRule type="expression" dxfId="1220" priority="138">
      <formula>#REF!=6</formula>
    </cfRule>
  </conditionalFormatting>
  <conditionalFormatting sqref="C32:E32 C33:C36 E33:E35">
    <cfRule type="expression" dxfId="1219" priority="137">
      <formula>#REF!=1</formula>
    </cfRule>
  </conditionalFormatting>
  <conditionalFormatting sqref="D33">
    <cfRule type="expression" dxfId="1218" priority="136">
      <formula>#REF!=2</formula>
    </cfRule>
  </conditionalFormatting>
  <conditionalFormatting sqref="D34">
    <cfRule type="expression" dxfId="1217" priority="135">
      <formula>#REF!=3</formula>
    </cfRule>
  </conditionalFormatting>
  <conditionalFormatting sqref="D35">
    <cfRule type="expression" dxfId="1216" priority="134">
      <formula>#REF!=4</formula>
    </cfRule>
  </conditionalFormatting>
  <conditionalFormatting sqref="D36:E36">
    <cfRule type="expression" dxfId="1215" priority="133">
      <formula>#REF!=5</formula>
    </cfRule>
  </conditionalFormatting>
  <conditionalFormatting sqref="C37:D37">
    <cfRule type="expression" dxfId="1214" priority="132">
      <formula>#REF!=6</formula>
    </cfRule>
  </conditionalFormatting>
  <conditionalFormatting sqref="F32:H32">
    <cfRule type="expression" dxfId="1213" priority="131">
      <formula>#REF!=1</formula>
    </cfRule>
  </conditionalFormatting>
  <conditionalFormatting sqref="F33:H33 H34:H35">
    <cfRule type="expression" dxfId="1212" priority="130">
      <formula>#REF!=2</formula>
    </cfRule>
  </conditionalFormatting>
  <conditionalFormatting sqref="F34:G34 F35">
    <cfRule type="expression" dxfId="1211" priority="129">
      <formula>#REF!=3</formula>
    </cfRule>
  </conditionalFormatting>
  <conditionalFormatting sqref="G35">
    <cfRule type="expression" dxfId="1210" priority="128">
      <formula>#REF!=4</formula>
    </cfRule>
  </conditionalFormatting>
  <conditionalFormatting sqref="F36:H36">
    <cfRule type="expression" dxfId="1209" priority="127">
      <formula>#REF!=5</formula>
    </cfRule>
  </conditionalFormatting>
  <conditionalFormatting sqref="F37:G37">
    <cfRule type="expression" dxfId="1208" priority="126">
      <formula>#REF!=6</formula>
    </cfRule>
  </conditionalFormatting>
  <conditionalFormatting sqref="H37">
    <cfRule type="expression" dxfId="1207" priority="125">
      <formula>#REF!=6</formula>
    </cfRule>
  </conditionalFormatting>
  <conditionalFormatting sqref="E37">
    <cfRule type="expression" dxfId="1206" priority="124">
      <formula>#REF!=6</formula>
    </cfRule>
  </conditionalFormatting>
  <conditionalFormatting sqref="K5:N5 L6:L9">
    <cfRule type="expression" dxfId="1205" priority="123">
      <formula>$C$26=1</formula>
    </cfRule>
  </conditionalFormatting>
  <conditionalFormatting sqref="K7">
    <cfRule type="expression" dxfId="1204" priority="122">
      <formula>$C$26=3</formula>
    </cfRule>
  </conditionalFormatting>
  <conditionalFormatting sqref="K9 N9">
    <cfRule type="expression" dxfId="1203" priority="121">
      <formula>$C$26=5</formula>
    </cfRule>
  </conditionalFormatting>
  <conditionalFormatting sqref="M10 K10">
    <cfRule type="expression" dxfId="1202" priority="120">
      <formula>$C$26=6</formula>
    </cfRule>
  </conditionalFormatting>
  <conditionalFormatting sqref="K6">
    <cfRule type="expression" dxfId="1201" priority="119">
      <formula>$C$26=2</formula>
    </cfRule>
  </conditionalFormatting>
  <conditionalFormatting sqref="K8">
    <cfRule type="expression" dxfId="1200" priority="118">
      <formula>$C$26=4</formula>
    </cfRule>
  </conditionalFormatting>
  <conditionalFormatting sqref="M6">
    <cfRule type="expression" dxfId="1199" priority="117">
      <formula>$C$26=1</formula>
    </cfRule>
  </conditionalFormatting>
  <conditionalFormatting sqref="M7">
    <cfRule type="expression" dxfId="1198" priority="116">
      <formula>$C$26=1</formula>
    </cfRule>
  </conditionalFormatting>
  <conditionalFormatting sqref="M8">
    <cfRule type="expression" dxfId="1197" priority="115">
      <formula>$C$26=1</formula>
    </cfRule>
  </conditionalFormatting>
  <conditionalFormatting sqref="N6">
    <cfRule type="expression" dxfId="1196" priority="114">
      <formula>$C$26=1</formula>
    </cfRule>
  </conditionalFormatting>
  <conditionalFormatting sqref="N7">
    <cfRule type="expression" dxfId="1195" priority="113">
      <formula>$C$26=1</formula>
    </cfRule>
  </conditionalFormatting>
  <conditionalFormatting sqref="N8">
    <cfRule type="expression" dxfId="1194" priority="112">
      <formula>$C$26=1</formula>
    </cfRule>
  </conditionalFormatting>
  <conditionalFormatting sqref="K14:N14 L15:L18">
    <cfRule type="expression" dxfId="1193" priority="111">
      <formula>$C$26=1</formula>
    </cfRule>
  </conditionalFormatting>
  <conditionalFormatting sqref="K16 N16">
    <cfRule type="expression" dxfId="1192" priority="110">
      <formula>$C$26=3</formula>
    </cfRule>
  </conditionalFormatting>
  <conditionalFormatting sqref="K18 M18:N18">
    <cfRule type="expression" dxfId="1191" priority="109">
      <formula>$C$26=5</formula>
    </cfRule>
  </conditionalFormatting>
  <conditionalFormatting sqref="M19 K19">
    <cfRule type="expression" dxfId="1190" priority="108">
      <formula>$C$26=6</formula>
    </cfRule>
  </conditionalFormatting>
  <conditionalFormatting sqref="K15 N15">
    <cfRule type="expression" dxfId="1189" priority="107">
      <formula>$C$26=2</formula>
    </cfRule>
  </conditionalFormatting>
  <conditionalFormatting sqref="K17 N17">
    <cfRule type="expression" dxfId="1188" priority="106">
      <formula>$C$26=4</formula>
    </cfRule>
  </conditionalFormatting>
  <conditionalFormatting sqref="M15">
    <cfRule type="expression" dxfId="1187" priority="105">
      <formula>$C$26=1</formula>
    </cfRule>
  </conditionalFormatting>
  <conditionalFormatting sqref="M16">
    <cfRule type="expression" dxfId="1186" priority="104">
      <formula>$C$26=1</formula>
    </cfRule>
  </conditionalFormatting>
  <conditionalFormatting sqref="M17">
    <cfRule type="expression" dxfId="1185" priority="103">
      <formula>$C$26=1</formula>
    </cfRule>
  </conditionalFormatting>
  <conditionalFormatting sqref="K23">
    <cfRule type="expression" dxfId="1184" priority="102">
      <formula>$C$26=1</formula>
    </cfRule>
  </conditionalFormatting>
  <conditionalFormatting sqref="K25">
    <cfRule type="expression" dxfId="1183" priority="101">
      <formula>$C$26=3</formula>
    </cfRule>
  </conditionalFormatting>
  <conditionalFormatting sqref="K27">
    <cfRule type="expression" dxfId="1182" priority="100">
      <formula>$C$26=5</formula>
    </cfRule>
  </conditionalFormatting>
  <conditionalFormatting sqref="K28">
    <cfRule type="expression" dxfId="1181" priority="99">
      <formula>$C$26=6</formula>
    </cfRule>
  </conditionalFormatting>
  <conditionalFormatting sqref="K24">
    <cfRule type="expression" dxfId="1180" priority="98">
      <formula>$C$26=2</formula>
    </cfRule>
  </conditionalFormatting>
  <conditionalFormatting sqref="K26">
    <cfRule type="expression" dxfId="1179" priority="97">
      <formula>$C$26=4</formula>
    </cfRule>
  </conditionalFormatting>
  <conditionalFormatting sqref="L23:N23 L24:L27">
    <cfRule type="expression" dxfId="1178" priority="96">
      <formula>$C$26=1</formula>
    </cfRule>
  </conditionalFormatting>
  <conditionalFormatting sqref="M27:N27">
    <cfRule type="expression" dxfId="1177" priority="95">
      <formula>$C$26=5</formula>
    </cfRule>
  </conditionalFormatting>
  <conditionalFormatting sqref="M28">
    <cfRule type="expression" dxfId="1176" priority="94">
      <formula>$C$26=6</formula>
    </cfRule>
  </conditionalFormatting>
  <conditionalFormatting sqref="N24:N26">
    <cfRule type="expression" dxfId="1175" priority="93">
      <formula>$C$26=2</formula>
    </cfRule>
  </conditionalFormatting>
  <conditionalFormatting sqref="M24">
    <cfRule type="expression" dxfId="1174" priority="92">
      <formula>$C$26=1</formula>
    </cfRule>
  </conditionalFormatting>
  <conditionalFormatting sqref="M25">
    <cfRule type="expression" dxfId="1173" priority="91">
      <formula>$C$26=1</formula>
    </cfRule>
  </conditionalFormatting>
  <conditionalFormatting sqref="M26">
    <cfRule type="expression" dxfId="1172" priority="90">
      <formula>$C$26=1</formula>
    </cfRule>
  </conditionalFormatting>
  <conditionalFormatting sqref="P5:S9">
    <cfRule type="expression" dxfId="1171" priority="88">
      <formula>$C$42=1</formula>
    </cfRule>
  </conditionalFormatting>
  <conditionalFormatting sqref="S10">
    <cfRule type="expression" dxfId="1170" priority="87">
      <formula>$C$26=5</formula>
    </cfRule>
  </conditionalFormatting>
  <conditionalFormatting sqref="R10:S10 P10">
    <cfRule type="expression" dxfId="1169" priority="86">
      <formula>$C$42=6</formula>
    </cfRule>
  </conditionalFormatting>
  <conditionalFormatting sqref="P14:S18">
    <cfRule type="expression" dxfId="1168" priority="85">
      <formula>$C$42=1</formula>
    </cfRule>
  </conditionalFormatting>
  <conditionalFormatting sqref="S19">
    <cfRule type="expression" dxfId="1167" priority="84">
      <formula>$C$26=5</formula>
    </cfRule>
  </conditionalFormatting>
  <conditionalFormatting sqref="R19:S19 P19">
    <cfRule type="expression" dxfId="1166" priority="83">
      <formula>$C$42=6</formula>
    </cfRule>
  </conditionalFormatting>
  <conditionalFormatting sqref="P23:Q23">
    <cfRule type="expression" dxfId="1165" priority="82">
      <formula>$C$42=1</formula>
    </cfRule>
  </conditionalFormatting>
  <conditionalFormatting sqref="P24:Q24">
    <cfRule type="expression" dxfId="1164" priority="81">
      <formula>$C$42=2</formula>
    </cfRule>
  </conditionalFormatting>
  <conditionalFormatting sqref="P25:Q25">
    <cfRule type="expression" dxfId="1163" priority="80">
      <formula>$C$42=3</formula>
    </cfRule>
  </conditionalFormatting>
  <conditionalFormatting sqref="P26:Q26">
    <cfRule type="expression" dxfId="1162" priority="79">
      <formula>$C$42=4</formula>
    </cfRule>
  </conditionalFormatting>
  <conditionalFormatting sqref="P27:Q27">
    <cfRule type="expression" dxfId="1161" priority="78">
      <formula>$C$42=5</formula>
    </cfRule>
  </conditionalFormatting>
  <conditionalFormatting sqref="P28">
    <cfRule type="expression" dxfId="1160" priority="77">
      <formula>$C$42=6</formula>
    </cfRule>
  </conditionalFormatting>
  <conditionalFormatting sqref="R23">
    <cfRule type="expression" dxfId="1159" priority="76">
      <formula>$C$42=1</formula>
    </cfRule>
  </conditionalFormatting>
  <conditionalFormatting sqref="R24">
    <cfRule type="expression" dxfId="1158" priority="75">
      <formula>$C$42=2</formula>
    </cfRule>
  </conditionalFormatting>
  <conditionalFormatting sqref="R25">
    <cfRule type="expression" dxfId="1157" priority="74">
      <formula>$C$42=3</formula>
    </cfRule>
  </conditionalFormatting>
  <conditionalFormatting sqref="R26">
    <cfRule type="expression" dxfId="1156" priority="73">
      <formula>$C$42=4</formula>
    </cfRule>
  </conditionalFormatting>
  <conditionalFormatting sqref="R27">
    <cfRule type="expression" dxfId="1155" priority="72">
      <formula>$C$42=5</formula>
    </cfRule>
  </conditionalFormatting>
  <conditionalFormatting sqref="R28">
    <cfRule type="expression" dxfId="1154" priority="71">
      <formula>$C$42=6</formula>
    </cfRule>
  </conditionalFormatting>
  <conditionalFormatting sqref="S23">
    <cfRule type="expression" dxfId="1153" priority="70">
      <formula>$C$42=1</formula>
    </cfRule>
  </conditionalFormatting>
  <conditionalFormatting sqref="S25">
    <cfRule type="expression" dxfId="1152" priority="69">
      <formula>$C$42=3</formula>
    </cfRule>
  </conditionalFormatting>
  <conditionalFormatting sqref="S27">
    <cfRule type="expression" dxfId="1151" priority="68">
      <formula>$C$42=5</formula>
    </cfRule>
  </conditionalFormatting>
  <conditionalFormatting sqref="S24">
    <cfRule type="expression" dxfId="1150" priority="67">
      <formula>$C$42=2</formula>
    </cfRule>
  </conditionalFormatting>
  <conditionalFormatting sqref="S27:S28">
    <cfRule type="expression" dxfId="1149" priority="66">
      <formula>$C$26=5</formula>
    </cfRule>
  </conditionalFormatting>
  <conditionalFormatting sqref="S26">
    <cfRule type="expression" dxfId="1148" priority="65">
      <formula>$C$42=4</formula>
    </cfRule>
  </conditionalFormatting>
  <conditionalFormatting sqref="S28">
    <cfRule type="expression" dxfId="1147" priority="64">
      <formula>$C$42=6</formula>
    </cfRule>
  </conditionalFormatting>
  <conditionalFormatting sqref="P32:S32">
    <cfRule type="expression" dxfId="1146" priority="63">
      <formula>$C$42=1</formula>
    </cfRule>
  </conditionalFormatting>
  <conditionalFormatting sqref="P34:S35">
    <cfRule type="expression" dxfId="1145" priority="62">
      <formula>$C$42=3</formula>
    </cfRule>
  </conditionalFormatting>
  <conditionalFormatting sqref="P36:S36">
    <cfRule type="expression" dxfId="1144" priority="61">
      <formula>$C$42=5</formula>
    </cfRule>
  </conditionalFormatting>
  <conditionalFormatting sqref="P33:S33">
    <cfRule type="expression" dxfId="1143" priority="60">
      <formula>$C$42=2</formula>
    </cfRule>
  </conditionalFormatting>
  <conditionalFormatting sqref="S36:S37">
    <cfRule type="expression" dxfId="1142" priority="59">
      <formula>$C$26=5</formula>
    </cfRule>
  </conditionalFormatting>
  <conditionalFormatting sqref="R37:S37 P37">
    <cfRule type="expression" dxfId="1141" priority="58">
      <formula>$C$42=6</formula>
    </cfRule>
  </conditionalFormatting>
  <conditionalFormatting sqref="V10 T5:T10">
    <cfRule type="expression" dxfId="1140" priority="57">
      <formula>$C$58=1</formula>
    </cfRule>
  </conditionalFormatting>
  <conditionalFormatting sqref="V5:V9">
    <cfRule type="expression" dxfId="1139" priority="53">
      <formula>$C$58=1</formula>
    </cfRule>
  </conditionalFormatting>
  <conditionalFormatting sqref="V19 T14:T19">
    <cfRule type="expression" dxfId="1138" priority="52">
      <formula>$C$58=1</formula>
    </cfRule>
  </conditionalFormatting>
  <conditionalFormatting sqref="V14:V18">
    <cfRule type="expression" dxfId="1137" priority="51">
      <formula>$C$58=1</formula>
    </cfRule>
  </conditionalFormatting>
  <conditionalFormatting sqref="V28 T23:T28">
    <cfRule type="expression" dxfId="1136" priority="50">
      <formula>$C$58=1</formula>
    </cfRule>
  </conditionalFormatting>
  <conditionalFormatting sqref="V23:V27">
    <cfRule type="expression" dxfId="1135" priority="49">
      <formula>$C$58=1</formula>
    </cfRule>
  </conditionalFormatting>
  <conditionalFormatting sqref="V37 T32:T37">
    <cfRule type="expression" dxfId="1134" priority="48">
      <formula>$C$58=1</formula>
    </cfRule>
  </conditionalFormatting>
  <conditionalFormatting sqref="V32:V36">
    <cfRule type="expression" dxfId="1133" priority="47">
      <formula>$C$58=1</formula>
    </cfRule>
  </conditionalFormatting>
  <conditionalFormatting sqref="M37 K37">
    <cfRule type="expression" dxfId="1132" priority="46">
      <formula>$C$26=6</formula>
    </cfRule>
  </conditionalFormatting>
  <conditionalFormatting sqref="B41">
    <cfRule type="expression" dxfId="1131" priority="45">
      <formula>#REF!=1</formula>
    </cfRule>
  </conditionalFormatting>
  <conditionalFormatting sqref="B42">
    <cfRule type="expression" dxfId="1130" priority="44">
      <formula>#REF!=2</formula>
    </cfRule>
  </conditionalFormatting>
  <conditionalFormatting sqref="B43">
    <cfRule type="expression" dxfId="1129" priority="43">
      <formula>#REF!=3</formula>
    </cfRule>
  </conditionalFormatting>
  <conditionalFormatting sqref="B44">
    <cfRule type="expression" dxfId="1128" priority="42">
      <formula>#REF!=4</formula>
    </cfRule>
  </conditionalFormatting>
  <conditionalFormatting sqref="B45">
    <cfRule type="expression" dxfId="1127" priority="41">
      <formula>#REF!=5</formula>
    </cfRule>
  </conditionalFormatting>
  <conditionalFormatting sqref="B46">
    <cfRule type="expression" dxfId="1126" priority="40">
      <formula>#REF!=6</formula>
    </cfRule>
  </conditionalFormatting>
  <conditionalFormatting sqref="D40">
    <cfRule type="expression" dxfId="1125" priority="39">
      <formula>#REF!&gt;0</formula>
    </cfRule>
  </conditionalFormatting>
  <conditionalFormatting sqref="E40">
    <cfRule type="expression" dxfId="1124" priority="38">
      <formula>#REF!&gt;0</formula>
    </cfRule>
  </conditionalFormatting>
  <conditionalFormatting sqref="G40">
    <cfRule type="expression" dxfId="1123" priority="37">
      <formula>#REF!&gt;0</formula>
    </cfRule>
  </conditionalFormatting>
  <conditionalFormatting sqref="H40">
    <cfRule type="expression" dxfId="1122" priority="36">
      <formula>#REF!&gt;0</formula>
    </cfRule>
  </conditionalFormatting>
  <conditionalFormatting sqref="M40">
    <cfRule type="expression" dxfId="1121" priority="35">
      <formula>AND($F$29=$G$26,$K$26&gt;=130)</formula>
    </cfRule>
  </conditionalFormatting>
  <conditionalFormatting sqref="N40">
    <cfRule type="expression" dxfId="1120" priority="34">
      <formula>AND($G$29=$G$26,$K$26&gt;=130)</formula>
    </cfRule>
  </conditionalFormatting>
  <conditionalFormatting sqref="O40">
    <cfRule type="expression" dxfId="1119" priority="33">
      <formula>AND($H$29=$G$26,$K$26&gt;=130)</formula>
    </cfRule>
  </conditionalFormatting>
  <conditionalFormatting sqref="S40">
    <cfRule type="expression" dxfId="1118" priority="32">
      <formula>$J$45&gt;0</formula>
    </cfRule>
  </conditionalFormatting>
  <conditionalFormatting sqref="R40">
    <cfRule type="expression" dxfId="1117" priority="31">
      <formula>$J$42&gt;0</formula>
    </cfRule>
  </conditionalFormatting>
  <conditionalFormatting sqref="C41:E41 C42:C45 E42:E44">
    <cfRule type="expression" dxfId="1116" priority="30">
      <formula>#REF!=1</formula>
    </cfRule>
  </conditionalFormatting>
  <conditionalFormatting sqref="D42">
    <cfRule type="expression" dxfId="1115" priority="29">
      <formula>#REF!=2</formula>
    </cfRule>
  </conditionalFormatting>
  <conditionalFormatting sqref="D43">
    <cfRule type="expression" dxfId="1114" priority="28">
      <formula>#REF!=3</formula>
    </cfRule>
  </conditionalFormatting>
  <conditionalFormatting sqref="D44">
    <cfRule type="expression" dxfId="1113" priority="27">
      <formula>#REF!=4</formula>
    </cfRule>
  </conditionalFormatting>
  <conditionalFormatting sqref="D45:E45">
    <cfRule type="expression" dxfId="1112" priority="26">
      <formula>#REF!=5</formula>
    </cfRule>
  </conditionalFormatting>
  <conditionalFormatting sqref="C46:D46">
    <cfRule type="expression" dxfId="1111" priority="25">
      <formula>#REF!=6</formula>
    </cfRule>
  </conditionalFormatting>
  <conditionalFormatting sqref="F41:H41 H42:H44">
    <cfRule type="expression" dxfId="1110" priority="24">
      <formula>#REF!=1</formula>
    </cfRule>
  </conditionalFormatting>
  <conditionalFormatting sqref="F42:G42">
    <cfRule type="expression" dxfId="1109" priority="23">
      <formula>#REF!=2</formula>
    </cfRule>
  </conditionalFormatting>
  <conditionalFormatting sqref="F43:G43">
    <cfRule type="expression" dxfId="1108" priority="22">
      <formula>#REF!=3</formula>
    </cfRule>
  </conditionalFormatting>
  <conditionalFormatting sqref="F44:G44">
    <cfRule type="expression" dxfId="1107" priority="21">
      <formula>#REF!=4</formula>
    </cfRule>
  </conditionalFormatting>
  <conditionalFormatting sqref="F45:H45">
    <cfRule type="expression" dxfId="1106" priority="20">
      <formula>#REF!=5</formula>
    </cfRule>
  </conditionalFormatting>
  <conditionalFormatting sqref="F46:G46">
    <cfRule type="expression" dxfId="1105" priority="19">
      <formula>#REF!=6</formula>
    </cfRule>
  </conditionalFormatting>
  <conditionalFormatting sqref="H46">
    <cfRule type="expression" dxfId="1104" priority="18">
      <formula>#REF!=6</formula>
    </cfRule>
  </conditionalFormatting>
  <conditionalFormatting sqref="E46">
    <cfRule type="expression" dxfId="1103" priority="17">
      <formula>#REF!=6</formula>
    </cfRule>
  </conditionalFormatting>
  <conditionalFormatting sqref="V46 T41 T46">
    <cfRule type="expression" dxfId="1102" priority="10">
      <formula>$C$58=1</formula>
    </cfRule>
  </conditionalFormatting>
  <conditionalFormatting sqref="V45">
    <cfRule type="expression" dxfId="1101" priority="9">
      <formula>$C$58=1</formula>
    </cfRule>
  </conditionalFormatting>
  <conditionalFormatting sqref="T42:T45">
    <cfRule type="expression" dxfId="1100" priority="8">
      <formula>$C$58=1</formula>
    </cfRule>
  </conditionalFormatting>
  <conditionalFormatting sqref="V41:V44">
    <cfRule type="expression" dxfId="1099" priority="7">
      <formula>$C$58=1</formula>
    </cfRule>
  </conditionalFormatting>
  <conditionalFormatting sqref="M46 K46">
    <cfRule type="expression" dxfId="1098" priority="6">
      <formula>$C$26=6</formula>
    </cfRule>
  </conditionalFormatting>
  <conditionalFormatting sqref="P41:Q41">
    <cfRule type="expression" dxfId="1097" priority="5">
      <formula>$C$42=1</formula>
    </cfRule>
  </conditionalFormatting>
  <conditionalFormatting sqref="P43:Q44">
    <cfRule type="expression" dxfId="1096" priority="4">
      <formula>$C$42=3</formula>
    </cfRule>
  </conditionalFormatting>
  <conditionalFormatting sqref="P45:Q45">
    <cfRule type="expression" dxfId="1095" priority="3">
      <formula>$C$42=5</formula>
    </cfRule>
  </conditionalFormatting>
  <conditionalFormatting sqref="P42:Q42">
    <cfRule type="expression" dxfId="1094" priority="2">
      <formula>$C$42=2</formula>
    </cfRule>
  </conditionalFormatting>
  <conditionalFormatting sqref="P46">
    <cfRule type="expression" dxfId="1093" priority="1">
      <formula>$C$42=6</formula>
    </cfRule>
  </conditionalFormatting>
  <hyperlinks>
    <hyperlink ref="AD3" r:id="rId1" xr:uid="{00000000-0004-0000-04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AD52"/>
  <sheetViews>
    <sheetView topLeftCell="H28" zoomScaleNormal="100" workbookViewId="0">
      <selection activeCell="S46" sqref="P41:S47"/>
    </sheetView>
  </sheetViews>
  <sheetFormatPr baseColWidth="10" defaultRowHeight="15" x14ac:dyDescent="0.25"/>
  <cols>
    <col min="2" max="2" width="17.42578125" customWidth="1"/>
  </cols>
  <sheetData>
    <row r="1" spans="1:30" ht="26.25" thickBot="1" x14ac:dyDescent="0.3">
      <c r="A1" s="511" t="s">
        <v>111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180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51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186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4151.75</v>
      </c>
      <c r="D5" s="1">
        <v>806.14</v>
      </c>
      <c r="E5" s="1">
        <v>1612.27</v>
      </c>
      <c r="F5" s="1">
        <v>2228.8000000000002</v>
      </c>
      <c r="G5" s="1">
        <v>851.18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199">
        <v>0.15</v>
      </c>
      <c r="U5" s="200"/>
      <c r="V5" s="199" t="s">
        <v>122</v>
      </c>
      <c r="W5" s="200"/>
      <c r="X5" s="22">
        <v>-0.28000000000000003</v>
      </c>
      <c r="Y5" s="341">
        <v>5488</v>
      </c>
      <c r="Z5" s="341"/>
      <c r="AA5" s="341">
        <v>132998</v>
      </c>
      <c r="AB5" s="341"/>
    </row>
    <row r="6" spans="1:30" ht="15.75" thickBot="1" x14ac:dyDescent="0.3">
      <c r="A6" s="491"/>
      <c r="B6" s="14" t="s">
        <v>21</v>
      </c>
      <c r="C6" s="39">
        <v>4982.09</v>
      </c>
      <c r="D6" s="10">
        <v>967.36</v>
      </c>
      <c r="E6" s="1">
        <v>1612.27</v>
      </c>
      <c r="F6" s="1">
        <v>2674.55</v>
      </c>
      <c r="G6" s="1">
        <v>1021.42</v>
      </c>
      <c r="H6" s="199">
        <v>1703.36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199">
        <v>0.22</v>
      </c>
      <c r="U6" s="200"/>
      <c r="V6" s="199" t="s">
        <v>122</v>
      </c>
      <c r="W6" s="200"/>
      <c r="X6" s="22">
        <v>-0.22</v>
      </c>
      <c r="Y6" s="341">
        <v>1513</v>
      </c>
      <c r="Z6" s="341"/>
      <c r="AA6" s="341">
        <v>26669</v>
      </c>
      <c r="AB6" s="341"/>
    </row>
    <row r="7" spans="1:30" ht="15.75" thickBot="1" x14ac:dyDescent="0.3">
      <c r="A7" s="491"/>
      <c r="B7" s="14" t="s">
        <v>24</v>
      </c>
      <c r="C7" s="39">
        <v>8303.49</v>
      </c>
      <c r="D7" s="1">
        <v>1612.27</v>
      </c>
      <c r="E7" s="1">
        <v>1612.27</v>
      </c>
      <c r="F7" s="1">
        <v>4457.59</v>
      </c>
      <c r="G7" s="1">
        <v>1702.36</v>
      </c>
      <c r="H7" s="199">
        <v>1704.36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199">
        <v>0.35</v>
      </c>
      <c r="U7" s="200"/>
      <c r="V7" s="199" t="s">
        <v>122</v>
      </c>
      <c r="W7" s="200"/>
      <c r="X7" s="22">
        <v>-0.8</v>
      </c>
      <c r="Y7" s="341">
        <v>0</v>
      </c>
      <c r="Z7" s="341"/>
      <c r="AA7" s="341">
        <v>3051</v>
      </c>
      <c r="AB7" s="341"/>
    </row>
    <row r="8" spans="1:30" ht="15.75" thickBot="1" x14ac:dyDescent="0.3">
      <c r="A8" s="491"/>
      <c r="B8" s="14" t="s">
        <v>22</v>
      </c>
      <c r="C8" s="39">
        <v>8303.49</v>
      </c>
      <c r="D8" s="1">
        <v>1612.27</v>
      </c>
      <c r="E8" s="1">
        <v>1612.27</v>
      </c>
      <c r="F8" s="1">
        <v>4457.59</v>
      </c>
      <c r="G8" s="1">
        <v>1702.36</v>
      </c>
      <c r="H8" s="199">
        <v>1705.36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199">
        <v>0.47</v>
      </c>
      <c r="U8" s="200"/>
      <c r="V8" s="199" t="s">
        <v>122</v>
      </c>
      <c r="W8" s="200"/>
      <c r="X8" s="22">
        <v>0</v>
      </c>
      <c r="Y8" s="296">
        <v>7001</v>
      </c>
      <c r="Z8" s="297"/>
      <c r="AA8" s="296">
        <v>162719</v>
      </c>
      <c r="AB8" s="297"/>
    </row>
    <row r="9" spans="1:30" ht="15.75" thickBot="1" x14ac:dyDescent="0.3">
      <c r="A9" s="491"/>
      <c r="B9" s="21" t="s">
        <v>23</v>
      </c>
      <c r="C9" s="39">
        <v>12455.24</v>
      </c>
      <c r="D9" s="22">
        <v>2418.41</v>
      </c>
      <c r="E9" s="22">
        <v>2418.41</v>
      </c>
      <c r="F9" s="22">
        <v>6686.39</v>
      </c>
      <c r="G9" s="22">
        <v>2553.54</v>
      </c>
      <c r="H9" s="308">
        <v>2553.54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199">
        <v>0.6</v>
      </c>
      <c r="U9" s="200"/>
      <c r="V9" s="199" t="s">
        <v>122</v>
      </c>
      <c r="W9" s="200"/>
      <c r="X9" s="22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13285.58</v>
      </c>
      <c r="D10" s="215">
        <v>2579.63</v>
      </c>
      <c r="E10" s="215">
        <v>2579.63</v>
      </c>
      <c r="F10" s="215">
        <v>7132.14</v>
      </c>
      <c r="G10" s="215">
        <v>2723.78</v>
      </c>
      <c r="H10" s="207">
        <v>2723.78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0.8</v>
      </c>
      <c r="U10" s="297"/>
      <c r="V10" s="296" t="s">
        <v>122</v>
      </c>
      <c r="W10" s="297"/>
      <c r="X10" s="310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311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51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4151.75</v>
      </c>
      <c r="D14" s="1">
        <v>806.14</v>
      </c>
      <c r="E14" s="1">
        <v>1612.27</v>
      </c>
      <c r="F14" s="1">
        <v>2228.8000000000002</v>
      </c>
      <c r="G14" s="1">
        <v>851.18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199">
        <v>0.15</v>
      </c>
      <c r="U14" s="200"/>
      <c r="V14" s="199" t="s">
        <v>122</v>
      </c>
      <c r="W14" s="200"/>
      <c r="X14" s="22">
        <v>-0.28000000000000003</v>
      </c>
      <c r="Y14" s="341">
        <v>5488</v>
      </c>
      <c r="Z14" s="341"/>
      <c r="AA14" s="341">
        <v>132998</v>
      </c>
      <c r="AB14" s="341"/>
    </row>
    <row r="15" spans="1:30" ht="15.75" thickBot="1" x14ac:dyDescent="0.3">
      <c r="A15" s="491"/>
      <c r="B15" s="14" t="s">
        <v>21</v>
      </c>
      <c r="C15" s="39">
        <v>4982.09</v>
      </c>
      <c r="D15" s="10">
        <v>967.36</v>
      </c>
      <c r="E15" s="1">
        <v>1612.27</v>
      </c>
      <c r="F15" s="1">
        <v>2674.55</v>
      </c>
      <c r="G15" s="1">
        <v>1021.42</v>
      </c>
      <c r="H15" s="199">
        <v>1703.36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199">
        <v>0.22</v>
      </c>
      <c r="U15" s="200"/>
      <c r="V15" s="199" t="s">
        <v>122</v>
      </c>
      <c r="W15" s="200"/>
      <c r="X15" s="22">
        <v>-0.22</v>
      </c>
      <c r="Y15" s="341">
        <v>1513</v>
      </c>
      <c r="Z15" s="341"/>
      <c r="AA15" s="341">
        <v>26669</v>
      </c>
      <c r="AB15" s="341"/>
    </row>
    <row r="16" spans="1:30" ht="15.75" thickBot="1" x14ac:dyDescent="0.3">
      <c r="A16" s="491"/>
      <c r="B16" s="14" t="s">
        <v>24</v>
      </c>
      <c r="C16" s="39">
        <v>8303.49</v>
      </c>
      <c r="D16" s="1">
        <v>1612.27</v>
      </c>
      <c r="E16" s="1">
        <v>1612.27</v>
      </c>
      <c r="F16" s="1">
        <v>4457.59</v>
      </c>
      <c r="G16" s="1">
        <v>1702.36</v>
      </c>
      <c r="H16" s="199">
        <v>1704.36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199">
        <v>0.35</v>
      </c>
      <c r="U16" s="200"/>
      <c r="V16" s="199" t="s">
        <v>122</v>
      </c>
      <c r="W16" s="200"/>
      <c r="X16" s="22">
        <v>-0.8</v>
      </c>
      <c r="Y16" s="341">
        <v>0</v>
      </c>
      <c r="Z16" s="341"/>
      <c r="AA16" s="341">
        <v>3051</v>
      </c>
      <c r="AB16" s="341"/>
    </row>
    <row r="17" spans="1:28" ht="15.75" thickBot="1" x14ac:dyDescent="0.3">
      <c r="A17" s="491"/>
      <c r="B17" s="14" t="s">
        <v>22</v>
      </c>
      <c r="C17" s="39">
        <v>8303.49</v>
      </c>
      <c r="D17" s="1">
        <v>1612.27</v>
      </c>
      <c r="E17" s="1">
        <v>1612.27</v>
      </c>
      <c r="F17" s="1">
        <v>4457.59</v>
      </c>
      <c r="G17" s="1">
        <v>1702.36</v>
      </c>
      <c r="H17" s="199">
        <v>1705.36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199">
        <v>0.47</v>
      </c>
      <c r="U17" s="200"/>
      <c r="V17" s="199" t="s">
        <v>122</v>
      </c>
      <c r="W17" s="200"/>
      <c r="X17" s="22">
        <v>0</v>
      </c>
      <c r="Y17" s="296">
        <v>7001</v>
      </c>
      <c r="Z17" s="297"/>
      <c r="AA17" s="296">
        <v>162719</v>
      </c>
      <c r="AB17" s="297"/>
    </row>
    <row r="18" spans="1:28" ht="15.75" thickBot="1" x14ac:dyDescent="0.3">
      <c r="A18" s="491"/>
      <c r="B18" s="21" t="s">
        <v>23</v>
      </c>
      <c r="C18" s="39">
        <v>12455.24</v>
      </c>
      <c r="D18" s="22">
        <v>2418.41</v>
      </c>
      <c r="E18" s="22">
        <v>2418.41</v>
      </c>
      <c r="F18" s="22">
        <v>6686.39</v>
      </c>
      <c r="G18" s="22">
        <v>2553.54</v>
      </c>
      <c r="H18" s="308">
        <v>2553.54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199">
        <v>0.6</v>
      </c>
      <c r="U18" s="200"/>
      <c r="V18" s="199" t="s">
        <v>122</v>
      </c>
      <c r="W18" s="200"/>
      <c r="X18" s="22">
        <v>0.5</v>
      </c>
      <c r="Y18" s="519"/>
      <c r="Z18" s="520"/>
      <c r="AA18" s="519"/>
      <c r="AB18" s="520"/>
    </row>
    <row r="19" spans="1:28" x14ac:dyDescent="0.25">
      <c r="A19" s="491"/>
      <c r="B19" s="351" t="s">
        <v>26</v>
      </c>
      <c r="C19" s="215">
        <v>13285.58</v>
      </c>
      <c r="D19" s="215">
        <v>2579.63</v>
      </c>
      <c r="E19" s="215">
        <v>2579.63</v>
      </c>
      <c r="F19" s="215">
        <v>7132.14</v>
      </c>
      <c r="G19" s="215">
        <v>2723.78</v>
      </c>
      <c r="H19" s="207">
        <v>2723.78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0.8</v>
      </c>
      <c r="U19" s="297"/>
      <c r="V19" s="296" t="s">
        <v>122</v>
      </c>
      <c r="W19" s="297"/>
      <c r="X19" s="310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311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51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4151.75</v>
      </c>
      <c r="D23" s="1">
        <v>806.14</v>
      </c>
      <c r="E23" s="1">
        <v>1612.27</v>
      </c>
      <c r="F23" s="1">
        <v>2228.8000000000002</v>
      </c>
      <c r="G23" s="1">
        <v>851.18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199">
        <v>0.15</v>
      </c>
      <c r="U23" s="200"/>
      <c r="V23" s="199" t="s">
        <v>122</v>
      </c>
      <c r="W23" s="200"/>
      <c r="X23" s="22">
        <v>-0.28000000000000003</v>
      </c>
      <c r="Y23" s="341">
        <v>5488</v>
      </c>
      <c r="Z23" s="341"/>
      <c r="AA23" s="341">
        <v>132998</v>
      </c>
      <c r="AB23" s="341"/>
    </row>
    <row r="24" spans="1:28" ht="15.75" thickBot="1" x14ac:dyDescent="0.3">
      <c r="A24" s="491"/>
      <c r="B24" s="14" t="s">
        <v>21</v>
      </c>
      <c r="C24" s="39">
        <v>4982.09</v>
      </c>
      <c r="D24" s="10">
        <v>967.36</v>
      </c>
      <c r="E24" s="1">
        <v>1612.27</v>
      </c>
      <c r="F24" s="1">
        <v>2674.55</v>
      </c>
      <c r="G24" s="1">
        <v>1021.42</v>
      </c>
      <c r="H24" s="199">
        <v>1703.36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199">
        <v>0.22</v>
      </c>
      <c r="U24" s="200"/>
      <c r="V24" s="199" t="s">
        <v>122</v>
      </c>
      <c r="W24" s="200"/>
      <c r="X24" s="22">
        <v>-0.22</v>
      </c>
      <c r="Y24" s="341">
        <v>1513</v>
      </c>
      <c r="Z24" s="341"/>
      <c r="AA24" s="341">
        <v>26669</v>
      </c>
      <c r="AB24" s="341"/>
    </row>
    <row r="25" spans="1:28" ht="15.75" thickBot="1" x14ac:dyDescent="0.3">
      <c r="A25" s="491"/>
      <c r="B25" s="14" t="s">
        <v>24</v>
      </c>
      <c r="C25" s="39">
        <v>8303.49</v>
      </c>
      <c r="D25" s="1">
        <v>1612.27</v>
      </c>
      <c r="E25" s="1">
        <v>1612.27</v>
      </c>
      <c r="F25" s="1">
        <v>4457.59</v>
      </c>
      <c r="G25" s="1">
        <v>1702.36</v>
      </c>
      <c r="H25" s="199">
        <v>1704.36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199">
        <v>0.35</v>
      </c>
      <c r="U25" s="200"/>
      <c r="V25" s="199" t="s">
        <v>122</v>
      </c>
      <c r="W25" s="200"/>
      <c r="X25" s="22">
        <v>-0.8</v>
      </c>
      <c r="Y25" s="341">
        <v>0</v>
      </c>
      <c r="Z25" s="341"/>
      <c r="AA25" s="341">
        <v>3051</v>
      </c>
      <c r="AB25" s="341"/>
    </row>
    <row r="26" spans="1:28" ht="15.75" thickBot="1" x14ac:dyDescent="0.3">
      <c r="A26" s="491"/>
      <c r="B26" s="14" t="s">
        <v>22</v>
      </c>
      <c r="C26" s="39">
        <v>8303.49</v>
      </c>
      <c r="D26" s="1">
        <v>1612.27</v>
      </c>
      <c r="E26" s="1">
        <v>1612.27</v>
      </c>
      <c r="F26" s="1">
        <v>4457.59</v>
      </c>
      <c r="G26" s="1">
        <v>1702.36</v>
      </c>
      <c r="H26" s="199">
        <v>1705.36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199">
        <v>0.47</v>
      </c>
      <c r="U26" s="200"/>
      <c r="V26" s="199" t="s">
        <v>122</v>
      </c>
      <c r="W26" s="200"/>
      <c r="X26" s="22">
        <v>0</v>
      </c>
      <c r="Y26" s="296">
        <v>7001</v>
      </c>
      <c r="Z26" s="297"/>
      <c r="AA26" s="296">
        <v>162719</v>
      </c>
      <c r="AB26" s="297"/>
    </row>
    <row r="27" spans="1:28" ht="15.75" thickBot="1" x14ac:dyDescent="0.3">
      <c r="A27" s="491"/>
      <c r="B27" s="21" t="s">
        <v>23</v>
      </c>
      <c r="C27" s="39">
        <v>12455.24</v>
      </c>
      <c r="D27" s="22">
        <v>2418.41</v>
      </c>
      <c r="E27" s="22">
        <v>2418.41</v>
      </c>
      <c r="F27" s="22">
        <v>6686.39</v>
      </c>
      <c r="G27" s="22">
        <v>2553.54</v>
      </c>
      <c r="H27" s="308">
        <v>2553.54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199">
        <v>0.6</v>
      </c>
      <c r="U27" s="200"/>
      <c r="V27" s="199" t="s">
        <v>122</v>
      </c>
      <c r="W27" s="200"/>
      <c r="X27" s="22">
        <v>0.5</v>
      </c>
      <c r="Y27" s="519"/>
      <c r="Z27" s="520"/>
      <c r="AA27" s="519"/>
      <c r="AB27" s="520"/>
    </row>
    <row r="28" spans="1:28" x14ac:dyDescent="0.25">
      <c r="A28" s="491"/>
      <c r="B28" s="351" t="s">
        <v>26</v>
      </c>
      <c r="C28" s="215">
        <v>13285.58</v>
      </c>
      <c r="D28" s="215">
        <v>2579.63</v>
      </c>
      <c r="E28" s="215">
        <v>2579.63</v>
      </c>
      <c r="F28" s="215">
        <v>7132.14</v>
      </c>
      <c r="G28" s="215">
        <v>2723.78</v>
      </c>
      <c r="H28" s="207">
        <v>2723.78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0.8</v>
      </c>
      <c r="U28" s="297"/>
      <c r="V28" s="296" t="s">
        <v>122</v>
      </c>
      <c r="W28" s="297"/>
      <c r="X28" s="310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311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51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4151.75</v>
      </c>
      <c r="D32" s="1">
        <v>806.14</v>
      </c>
      <c r="E32" s="1">
        <v>1612.27</v>
      </c>
      <c r="F32" s="1">
        <v>2228.8000000000002</v>
      </c>
      <c r="G32" s="1">
        <v>851.18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199">
        <v>0.15</v>
      </c>
      <c r="U32" s="200"/>
      <c r="V32" s="199" t="s">
        <v>122</v>
      </c>
      <c r="W32" s="200"/>
      <c r="X32" s="22">
        <v>-0.28000000000000003</v>
      </c>
      <c r="Y32" s="341">
        <v>5488</v>
      </c>
      <c r="Z32" s="341"/>
      <c r="AA32" s="341">
        <v>132998</v>
      </c>
      <c r="AB32" s="341"/>
    </row>
    <row r="33" spans="1:28" ht="15.75" thickBot="1" x14ac:dyDescent="0.3">
      <c r="A33" s="491"/>
      <c r="B33" s="14" t="s">
        <v>21</v>
      </c>
      <c r="C33" s="39">
        <v>4982.09</v>
      </c>
      <c r="D33" s="10">
        <v>967.36</v>
      </c>
      <c r="E33" s="1">
        <v>1612.27</v>
      </c>
      <c r="F33" s="1">
        <v>2674.55</v>
      </c>
      <c r="G33" s="1">
        <v>1021.42</v>
      </c>
      <c r="H33" s="199">
        <v>1703.36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199">
        <v>0.22</v>
      </c>
      <c r="U33" s="200"/>
      <c r="V33" s="199" t="s">
        <v>122</v>
      </c>
      <c r="W33" s="200"/>
      <c r="X33" s="22">
        <v>-0.22</v>
      </c>
      <c r="Y33" s="341">
        <v>1513</v>
      </c>
      <c r="Z33" s="341"/>
      <c r="AA33" s="341">
        <v>26669</v>
      </c>
      <c r="AB33" s="341"/>
    </row>
    <row r="34" spans="1:28" ht="15.75" thickBot="1" x14ac:dyDescent="0.3">
      <c r="A34" s="491"/>
      <c r="B34" s="14" t="s">
        <v>24</v>
      </c>
      <c r="C34" s="39">
        <v>8303.49</v>
      </c>
      <c r="D34" s="1">
        <v>1612.27</v>
      </c>
      <c r="E34" s="1">
        <v>1612.27</v>
      </c>
      <c r="F34" s="1">
        <v>4457.59</v>
      </c>
      <c r="G34" s="1">
        <v>1702.36</v>
      </c>
      <c r="H34" s="199">
        <v>1704.36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199">
        <v>0.35</v>
      </c>
      <c r="U34" s="200"/>
      <c r="V34" s="199" t="s">
        <v>122</v>
      </c>
      <c r="W34" s="200"/>
      <c r="X34" s="22">
        <v>-0.8</v>
      </c>
      <c r="Y34" s="341">
        <v>0</v>
      </c>
      <c r="Z34" s="341"/>
      <c r="AA34" s="341">
        <v>3051</v>
      </c>
      <c r="AB34" s="341"/>
    </row>
    <row r="35" spans="1:28" ht="15.75" thickBot="1" x14ac:dyDescent="0.3">
      <c r="A35" s="491"/>
      <c r="B35" s="14" t="s">
        <v>22</v>
      </c>
      <c r="C35" s="39">
        <v>8303.49</v>
      </c>
      <c r="D35" s="1">
        <v>1612.27</v>
      </c>
      <c r="E35" s="1">
        <v>1612.27</v>
      </c>
      <c r="F35" s="1">
        <v>4457.59</v>
      </c>
      <c r="G35" s="1">
        <v>1702.36</v>
      </c>
      <c r="H35" s="199">
        <v>1705.36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199">
        <v>0.47</v>
      </c>
      <c r="U35" s="200"/>
      <c r="V35" s="199" t="s">
        <v>122</v>
      </c>
      <c r="W35" s="200"/>
      <c r="X35" s="22">
        <v>0</v>
      </c>
      <c r="Y35" s="296">
        <v>7001</v>
      </c>
      <c r="Z35" s="297"/>
      <c r="AA35" s="296">
        <v>162719</v>
      </c>
      <c r="AB35" s="297"/>
    </row>
    <row r="36" spans="1:28" ht="15.75" thickBot="1" x14ac:dyDescent="0.3">
      <c r="A36" s="491"/>
      <c r="B36" s="21" t="s">
        <v>23</v>
      </c>
      <c r="C36" s="39">
        <v>12455.24</v>
      </c>
      <c r="D36" s="22">
        <v>2418.41</v>
      </c>
      <c r="E36" s="22">
        <v>2418.41</v>
      </c>
      <c r="F36" s="22">
        <v>6686.39</v>
      </c>
      <c r="G36" s="22">
        <v>2553.54</v>
      </c>
      <c r="H36" s="308">
        <v>2553.54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199">
        <v>0.6</v>
      </c>
      <c r="U36" s="200"/>
      <c r="V36" s="199" t="s">
        <v>122</v>
      </c>
      <c r="W36" s="200"/>
      <c r="X36" s="22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13285.58</v>
      </c>
      <c r="D37" s="215">
        <v>2579.63</v>
      </c>
      <c r="E37" s="215">
        <v>2579.63</v>
      </c>
      <c r="F37" s="215">
        <v>7132.14</v>
      </c>
      <c r="G37" s="215">
        <v>2723.78</v>
      </c>
      <c r="H37" s="207">
        <v>2723.78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0.8</v>
      </c>
      <c r="U37" s="297"/>
      <c r="V37" s="296" t="s">
        <v>122</v>
      </c>
      <c r="W37" s="297"/>
      <c r="X37" s="310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311"/>
      <c r="Y38" s="298"/>
      <c r="Z38" s="299"/>
      <c r="AA38" s="298"/>
      <c r="AB38" s="299"/>
    </row>
    <row r="39" spans="1:28" ht="15" customHeight="1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  <row r="52" spans="1:1" x14ac:dyDescent="0.25">
      <c r="A52" s="57" t="s">
        <v>128</v>
      </c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Y35:Z38"/>
    <mergeCell ref="AA35:AB38"/>
    <mergeCell ref="X37:X38"/>
    <mergeCell ref="A1:W1"/>
    <mergeCell ref="B2:E2"/>
    <mergeCell ref="F2:I2"/>
    <mergeCell ref="J2:O2"/>
    <mergeCell ref="P2:S2"/>
    <mergeCell ref="T2:W2"/>
    <mergeCell ref="P5:Q5"/>
    <mergeCell ref="H6:I6"/>
    <mergeCell ref="P6:Q6"/>
    <mergeCell ref="A3:A11"/>
    <mergeCell ref="B3:B4"/>
    <mergeCell ref="C3:C4"/>
    <mergeCell ref="D3:E3"/>
    <mergeCell ref="F3:F4"/>
    <mergeCell ref="B10:B11"/>
    <mergeCell ref="C10:C11"/>
    <mergeCell ref="R10:R11"/>
    <mergeCell ref="S10:S11"/>
    <mergeCell ref="M10:M11"/>
    <mergeCell ref="N10:N11"/>
    <mergeCell ref="T10:U11"/>
    <mergeCell ref="V10:W11"/>
    <mergeCell ref="J10:J11"/>
    <mergeCell ref="H7:I7"/>
    <mergeCell ref="P7:Q7"/>
    <mergeCell ref="J3:L3"/>
    <mergeCell ref="M3:O3"/>
    <mergeCell ref="P3:Q4"/>
    <mergeCell ref="R3:S3"/>
    <mergeCell ref="T3:W4"/>
    <mergeCell ref="H4:I4"/>
    <mergeCell ref="G3:I3"/>
    <mergeCell ref="H5:I5"/>
    <mergeCell ref="T5:U5"/>
    <mergeCell ref="V5:W5"/>
    <mergeCell ref="T6:U6"/>
    <mergeCell ref="V6:W6"/>
    <mergeCell ref="T7:U7"/>
    <mergeCell ref="V7:W7"/>
    <mergeCell ref="T8:U8"/>
    <mergeCell ref="V8:W8"/>
    <mergeCell ref="T9:U9"/>
    <mergeCell ref="V9:W9"/>
    <mergeCell ref="P8:Q8"/>
    <mergeCell ref="H9:I9"/>
    <mergeCell ref="P9:Q9"/>
    <mergeCell ref="J12:L12"/>
    <mergeCell ref="D10:D11"/>
    <mergeCell ref="E10:E11"/>
    <mergeCell ref="F10:F11"/>
    <mergeCell ref="H8:I8"/>
    <mergeCell ref="G10:G11"/>
    <mergeCell ref="H10:I11"/>
    <mergeCell ref="M12:O12"/>
    <mergeCell ref="P12:Q13"/>
    <mergeCell ref="O10:O11"/>
    <mergeCell ref="R12:S12"/>
    <mergeCell ref="T12:W13"/>
    <mergeCell ref="P10:Q11"/>
    <mergeCell ref="K10:K11"/>
    <mergeCell ref="L10:L11"/>
    <mergeCell ref="A12:A20"/>
    <mergeCell ref="B12:B13"/>
    <mergeCell ref="C12:C13"/>
    <mergeCell ref="D12:E12"/>
    <mergeCell ref="F12:F13"/>
    <mergeCell ref="G12:I12"/>
    <mergeCell ref="H16:I16"/>
    <mergeCell ref="H18:I18"/>
    <mergeCell ref="B19:B20"/>
    <mergeCell ref="C19:C20"/>
    <mergeCell ref="H13:I13"/>
    <mergeCell ref="D19:D20"/>
    <mergeCell ref="E19:E20"/>
    <mergeCell ref="F19:F20"/>
    <mergeCell ref="G19:G20"/>
    <mergeCell ref="H19:I20"/>
    <mergeCell ref="V18:W18"/>
    <mergeCell ref="P16:Q16"/>
    <mergeCell ref="H17:I17"/>
    <mergeCell ref="P17:Q17"/>
    <mergeCell ref="H14:I14"/>
    <mergeCell ref="P14:Q14"/>
    <mergeCell ref="H15:I15"/>
    <mergeCell ref="P15:Q15"/>
    <mergeCell ref="T14:U14"/>
    <mergeCell ref="V14:W14"/>
    <mergeCell ref="T15:U15"/>
    <mergeCell ref="V15:W15"/>
    <mergeCell ref="T16:U16"/>
    <mergeCell ref="V16:W16"/>
    <mergeCell ref="T17:U17"/>
    <mergeCell ref="V17:W17"/>
    <mergeCell ref="P18:Q18"/>
    <mergeCell ref="T18:U18"/>
    <mergeCell ref="J19:J20"/>
    <mergeCell ref="K19:K20"/>
    <mergeCell ref="L19:L20"/>
    <mergeCell ref="M19:M20"/>
    <mergeCell ref="N19:N20"/>
    <mergeCell ref="O19:O20"/>
    <mergeCell ref="V25:W25"/>
    <mergeCell ref="M21:O21"/>
    <mergeCell ref="P21:Q22"/>
    <mergeCell ref="R21:S21"/>
    <mergeCell ref="T21:W22"/>
    <mergeCell ref="H22:I22"/>
    <mergeCell ref="P25:Q25"/>
    <mergeCell ref="T19:U20"/>
    <mergeCell ref="V19:W20"/>
    <mergeCell ref="P19:Q20"/>
    <mergeCell ref="R19:R20"/>
    <mergeCell ref="S19:S20"/>
    <mergeCell ref="A30:A38"/>
    <mergeCell ref="B30:B31"/>
    <mergeCell ref="C30:C31"/>
    <mergeCell ref="D30:E30"/>
    <mergeCell ref="F30:F31"/>
    <mergeCell ref="G30:I30"/>
    <mergeCell ref="J28:J29"/>
    <mergeCell ref="K28:K29"/>
    <mergeCell ref="L28:L29"/>
    <mergeCell ref="A21:A29"/>
    <mergeCell ref="B21:B22"/>
    <mergeCell ref="C21:C22"/>
    <mergeCell ref="D21:E21"/>
    <mergeCell ref="F21:F22"/>
    <mergeCell ref="J30:L30"/>
    <mergeCell ref="H34:I34"/>
    <mergeCell ref="H26:I26"/>
    <mergeCell ref="H23:I23"/>
    <mergeCell ref="H24:I24"/>
    <mergeCell ref="H36:I36"/>
    <mergeCell ref="G21:I21"/>
    <mergeCell ref="H25:I25"/>
    <mergeCell ref="J21:L21"/>
    <mergeCell ref="V36:W36"/>
    <mergeCell ref="B28:B29"/>
    <mergeCell ref="C28:C29"/>
    <mergeCell ref="D28:D29"/>
    <mergeCell ref="E28:E29"/>
    <mergeCell ref="F28:F29"/>
    <mergeCell ref="G28:G29"/>
    <mergeCell ref="H28:I29"/>
    <mergeCell ref="T27:U27"/>
    <mergeCell ref="V27:W27"/>
    <mergeCell ref="H27:I27"/>
    <mergeCell ref="M30:O30"/>
    <mergeCell ref="P30:Q31"/>
    <mergeCell ref="R30:S30"/>
    <mergeCell ref="T30:W31"/>
    <mergeCell ref="H31:I31"/>
    <mergeCell ref="P28:Q29"/>
    <mergeCell ref="R28:R29"/>
    <mergeCell ref="S28:S29"/>
    <mergeCell ref="M28:M29"/>
    <mergeCell ref="N28:N29"/>
    <mergeCell ref="O28:O29"/>
    <mergeCell ref="T28:U29"/>
    <mergeCell ref="V28:W29"/>
    <mergeCell ref="P26:Q26"/>
    <mergeCell ref="P23:Q23"/>
    <mergeCell ref="P24:Q24"/>
    <mergeCell ref="T23:U23"/>
    <mergeCell ref="V23:W23"/>
    <mergeCell ref="T24:U24"/>
    <mergeCell ref="V24:W24"/>
    <mergeCell ref="T25:U25"/>
    <mergeCell ref="T26:U26"/>
    <mergeCell ref="V26:W26"/>
    <mergeCell ref="P27:Q27"/>
    <mergeCell ref="V37:W38"/>
    <mergeCell ref="P34:Q34"/>
    <mergeCell ref="H35:I35"/>
    <mergeCell ref="P35:Q35"/>
    <mergeCell ref="H32:I32"/>
    <mergeCell ref="P32:Q32"/>
    <mergeCell ref="H33:I33"/>
    <mergeCell ref="P33:Q33"/>
    <mergeCell ref="T32:U32"/>
    <mergeCell ref="V32:W32"/>
    <mergeCell ref="T33:U33"/>
    <mergeCell ref="V33:W33"/>
    <mergeCell ref="T34:U34"/>
    <mergeCell ref="V34:W34"/>
    <mergeCell ref="T35:U35"/>
    <mergeCell ref="V35:W35"/>
    <mergeCell ref="R37:R38"/>
    <mergeCell ref="S37:S38"/>
    <mergeCell ref="J37:J38"/>
    <mergeCell ref="K37:K38"/>
    <mergeCell ref="L37:L38"/>
    <mergeCell ref="M37:M38"/>
    <mergeCell ref="N37:N38"/>
    <mergeCell ref="O37:O38"/>
    <mergeCell ref="T36:U36"/>
    <mergeCell ref="P36:Q36"/>
    <mergeCell ref="B37:B38"/>
    <mergeCell ref="C37:C38"/>
    <mergeCell ref="D37:D38"/>
    <mergeCell ref="E37:E38"/>
    <mergeCell ref="F37:F38"/>
    <mergeCell ref="G37:G38"/>
    <mergeCell ref="H37:I38"/>
    <mergeCell ref="P37:Q38"/>
    <mergeCell ref="T37:U38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8:Z11"/>
    <mergeCell ref="AA8:AB11"/>
    <mergeCell ref="X10:X11"/>
    <mergeCell ref="X12:X13"/>
    <mergeCell ref="Y12:Z13"/>
    <mergeCell ref="AA12:AB13"/>
    <mergeCell ref="Y14:Z14"/>
    <mergeCell ref="AA14:AB14"/>
    <mergeCell ref="Y15:Z15"/>
    <mergeCell ref="AA15:AB15"/>
    <mergeCell ref="X28:X29"/>
    <mergeCell ref="X30:X31"/>
    <mergeCell ref="Y30:Z31"/>
    <mergeCell ref="AA30:AB31"/>
    <mergeCell ref="Y16:Z16"/>
    <mergeCell ref="AA16:AB16"/>
    <mergeCell ref="Y17:Z20"/>
    <mergeCell ref="AA17:AB20"/>
    <mergeCell ref="X19:X20"/>
    <mergeCell ref="X21:X22"/>
    <mergeCell ref="Y21:Z22"/>
    <mergeCell ref="AA21:AB22"/>
    <mergeCell ref="Y23:Z23"/>
    <mergeCell ref="AA23:AB23"/>
    <mergeCell ref="Y32:Z32"/>
    <mergeCell ref="AA32:AB32"/>
    <mergeCell ref="Y33:Z33"/>
    <mergeCell ref="AA33:AB33"/>
    <mergeCell ref="Y34:Z34"/>
    <mergeCell ref="Y24:Z24"/>
    <mergeCell ref="AA24:AB24"/>
    <mergeCell ref="Y25:Z25"/>
    <mergeCell ref="AA25:AB25"/>
    <mergeCell ref="Y26:Z29"/>
    <mergeCell ref="AA26:AB29"/>
    <mergeCell ref="AA34:AB34"/>
  </mergeCells>
  <conditionalFormatting sqref="B5:E5 B14 B23 B32 C6:C9 E6:E8">
    <cfRule type="expression" dxfId="1092" priority="293">
      <formula>#REF!=1</formula>
    </cfRule>
  </conditionalFormatting>
  <conditionalFormatting sqref="B6 D6 B15 B24 B33">
    <cfRule type="expression" dxfId="1091" priority="292">
      <formula>#REF!=2</formula>
    </cfRule>
  </conditionalFormatting>
  <conditionalFormatting sqref="B7 B16 B25 B34 D7:D8">
    <cfRule type="expression" dxfId="1090" priority="291">
      <formula>#REF!=3</formula>
    </cfRule>
  </conditionalFormatting>
  <conditionalFormatting sqref="B8 B17 B26 B35">
    <cfRule type="expression" dxfId="1089" priority="290">
      <formula>#REF!=4</formula>
    </cfRule>
  </conditionalFormatting>
  <conditionalFormatting sqref="B9 B18 B27 B36 D9:E9">
    <cfRule type="expression" dxfId="1088" priority="289">
      <formula>#REF!=5</formula>
    </cfRule>
  </conditionalFormatting>
  <conditionalFormatting sqref="B10:D10 B19 B28 B37">
    <cfRule type="expression" dxfId="1087" priority="288">
      <formula>#REF!=6</formula>
    </cfRule>
  </conditionalFormatting>
  <conditionalFormatting sqref="D4 D13 D22 D31">
    <cfRule type="expression" dxfId="1086" priority="287">
      <formula>#REF!&gt;0</formula>
    </cfRule>
  </conditionalFormatting>
  <conditionalFormatting sqref="E4 E13 E22 E31">
    <cfRule type="expression" dxfId="1085" priority="286">
      <formula>#REF!&gt;0</formula>
    </cfRule>
  </conditionalFormatting>
  <conditionalFormatting sqref="F5:H5 H6:H8">
    <cfRule type="expression" dxfId="1084" priority="285">
      <formula>#REF!=1</formula>
    </cfRule>
  </conditionalFormatting>
  <conditionalFormatting sqref="F6:G6">
    <cfRule type="expression" dxfId="1083" priority="284">
      <formula>#REF!=2</formula>
    </cfRule>
  </conditionalFormatting>
  <conditionalFormatting sqref="F7:G8">
    <cfRule type="expression" dxfId="1082" priority="283">
      <formula>#REF!=3</formula>
    </cfRule>
  </conditionalFormatting>
  <conditionalFormatting sqref="F9:H9">
    <cfRule type="expression" dxfId="1081" priority="281">
      <formula>#REF!=5</formula>
    </cfRule>
  </conditionalFormatting>
  <conditionalFormatting sqref="F10:G10">
    <cfRule type="expression" dxfId="1080" priority="280">
      <formula>#REF!=6</formula>
    </cfRule>
  </conditionalFormatting>
  <conditionalFormatting sqref="G4 G13 G22 G31">
    <cfRule type="expression" dxfId="1079" priority="279">
      <formula>#REF!&gt;0</formula>
    </cfRule>
  </conditionalFormatting>
  <conditionalFormatting sqref="H4 H13 H22 H31">
    <cfRule type="expression" dxfId="1078" priority="278">
      <formula>#REF!&gt;0</formula>
    </cfRule>
  </conditionalFormatting>
  <conditionalFormatting sqref="H10">
    <cfRule type="expression" dxfId="1077" priority="277">
      <formula>#REF!=6</formula>
    </cfRule>
  </conditionalFormatting>
  <conditionalFormatting sqref="M4">
    <cfRule type="expression" dxfId="1076" priority="267">
      <formula>AND($F$29=$G$26,$K$26&gt;=130)</formula>
    </cfRule>
  </conditionalFormatting>
  <conditionalFormatting sqref="N4">
    <cfRule type="expression" dxfId="1075" priority="266">
      <formula>AND($G$29=$G$26,$K$26&gt;=130)</formula>
    </cfRule>
  </conditionalFormatting>
  <conditionalFormatting sqref="O4">
    <cfRule type="expression" dxfId="1074" priority="265">
      <formula>AND($H$29=$G$26,$K$26&gt;=130)</formula>
    </cfRule>
  </conditionalFormatting>
  <conditionalFormatting sqref="M13">
    <cfRule type="expression" dxfId="1073" priority="243">
      <formula>AND($F$29=$G$26,$K$26&gt;=130)</formula>
    </cfRule>
  </conditionalFormatting>
  <conditionalFormatting sqref="N13">
    <cfRule type="expression" dxfId="1072" priority="242">
      <formula>AND($G$29=$G$26,$K$26&gt;=130)</formula>
    </cfRule>
  </conditionalFormatting>
  <conditionalFormatting sqref="O13">
    <cfRule type="expression" dxfId="1071" priority="241">
      <formula>AND($H$29=$G$26,$K$26&gt;=130)</formula>
    </cfRule>
  </conditionalFormatting>
  <conditionalFormatting sqref="M22">
    <cfRule type="expression" dxfId="1070" priority="237">
      <formula>AND($F$29=$G$26,$K$26&gt;=130)</formula>
    </cfRule>
  </conditionalFormatting>
  <conditionalFormatting sqref="N22">
    <cfRule type="expression" dxfId="1069" priority="236">
      <formula>AND($G$29=$G$26,$K$26&gt;=130)</formula>
    </cfRule>
  </conditionalFormatting>
  <conditionalFormatting sqref="O22">
    <cfRule type="expression" dxfId="1068" priority="235">
      <formula>AND($H$29=$G$26,$K$26&gt;=130)</formula>
    </cfRule>
  </conditionalFormatting>
  <conditionalFormatting sqref="M31">
    <cfRule type="expression" dxfId="1067" priority="231">
      <formula>AND($F$29=$G$26,$K$26&gt;=130)</formula>
    </cfRule>
  </conditionalFormatting>
  <conditionalFormatting sqref="N31">
    <cfRule type="expression" dxfId="1066" priority="230">
      <formula>AND($G$29=$G$26,$K$26&gt;=130)</formula>
    </cfRule>
  </conditionalFormatting>
  <conditionalFormatting sqref="O31">
    <cfRule type="expression" dxfId="1065" priority="229">
      <formula>AND($H$29=$G$26,$K$26&gt;=130)</formula>
    </cfRule>
  </conditionalFormatting>
  <conditionalFormatting sqref="S4">
    <cfRule type="expression" dxfId="1064" priority="218">
      <formula>$J$45&gt;0</formula>
    </cfRule>
  </conditionalFormatting>
  <conditionalFormatting sqref="R4">
    <cfRule type="expression" dxfId="1063" priority="217">
      <formula>$J$42&gt;0</formula>
    </cfRule>
  </conditionalFormatting>
  <conditionalFormatting sqref="S13">
    <cfRule type="expression" dxfId="1062" priority="168">
      <formula>$J$45&gt;0</formula>
    </cfRule>
  </conditionalFormatting>
  <conditionalFormatting sqref="R13">
    <cfRule type="expression" dxfId="1061" priority="167">
      <formula>$J$42&gt;0</formula>
    </cfRule>
  </conditionalFormatting>
  <conditionalFormatting sqref="S22">
    <cfRule type="expression" dxfId="1060" priority="166">
      <formula>$J$45&gt;0</formula>
    </cfRule>
  </conditionalFormatting>
  <conditionalFormatting sqref="R22">
    <cfRule type="expression" dxfId="1059" priority="165">
      <formula>$J$42&gt;0</formula>
    </cfRule>
  </conditionalFormatting>
  <conditionalFormatting sqref="S31">
    <cfRule type="expression" dxfId="1058" priority="164">
      <formula>$J$45&gt;0</formula>
    </cfRule>
  </conditionalFormatting>
  <conditionalFormatting sqref="R31">
    <cfRule type="expression" dxfId="1057" priority="163">
      <formula>$J$42&gt;0</formula>
    </cfRule>
  </conditionalFormatting>
  <conditionalFormatting sqref="E10">
    <cfRule type="expression" dxfId="1056" priority="159">
      <formula>#REF!=6</formula>
    </cfRule>
  </conditionalFormatting>
  <conditionalFormatting sqref="C14:E14 C15:C18 E15:E17">
    <cfRule type="expression" dxfId="1055" priority="158">
      <formula>#REF!=1</formula>
    </cfRule>
  </conditionalFormatting>
  <conditionalFormatting sqref="D15">
    <cfRule type="expression" dxfId="1054" priority="157">
      <formula>#REF!=2</formula>
    </cfRule>
  </conditionalFormatting>
  <conditionalFormatting sqref="D16:D17">
    <cfRule type="expression" dxfId="1053" priority="156">
      <formula>#REF!=3</formula>
    </cfRule>
  </conditionalFormatting>
  <conditionalFormatting sqref="D18:E18">
    <cfRule type="expression" dxfId="1052" priority="155">
      <formula>#REF!=5</formula>
    </cfRule>
  </conditionalFormatting>
  <conditionalFormatting sqref="C19:D19">
    <cfRule type="expression" dxfId="1051" priority="154">
      <formula>#REF!=6</formula>
    </cfRule>
  </conditionalFormatting>
  <conditionalFormatting sqref="F14:H14 H15:H17">
    <cfRule type="expression" dxfId="1050" priority="153">
      <formula>#REF!=1</formula>
    </cfRule>
  </conditionalFormatting>
  <conditionalFormatting sqref="F15:G15">
    <cfRule type="expression" dxfId="1049" priority="152">
      <formula>#REF!=2</formula>
    </cfRule>
  </conditionalFormatting>
  <conditionalFormatting sqref="F16:G17">
    <cfRule type="expression" dxfId="1048" priority="151">
      <formula>#REF!=3</formula>
    </cfRule>
  </conditionalFormatting>
  <conditionalFormatting sqref="F18:H18">
    <cfRule type="expression" dxfId="1047" priority="150">
      <formula>#REF!=5</formula>
    </cfRule>
  </conditionalFormatting>
  <conditionalFormatting sqref="F19:G19">
    <cfRule type="expression" dxfId="1046" priority="149">
      <formula>#REF!=6</formula>
    </cfRule>
  </conditionalFormatting>
  <conditionalFormatting sqref="H19">
    <cfRule type="expression" dxfId="1045" priority="148">
      <formula>#REF!=6</formula>
    </cfRule>
  </conditionalFormatting>
  <conditionalFormatting sqref="E19">
    <cfRule type="expression" dxfId="1044" priority="147">
      <formula>#REF!=6</formula>
    </cfRule>
  </conditionalFormatting>
  <conditionalFormatting sqref="C23:E23 C24:C27 E24:E26">
    <cfRule type="expression" dxfId="1043" priority="146">
      <formula>#REF!=1</formula>
    </cfRule>
  </conditionalFormatting>
  <conditionalFormatting sqref="D24">
    <cfRule type="expression" dxfId="1042" priority="145">
      <formula>#REF!=2</formula>
    </cfRule>
  </conditionalFormatting>
  <conditionalFormatting sqref="D25:D26">
    <cfRule type="expression" dxfId="1041" priority="144">
      <formula>#REF!=3</formula>
    </cfRule>
  </conditionalFormatting>
  <conditionalFormatting sqref="D27:E27">
    <cfRule type="expression" dxfId="1040" priority="143">
      <formula>#REF!=5</formula>
    </cfRule>
  </conditionalFormatting>
  <conditionalFormatting sqref="C28:D28">
    <cfRule type="expression" dxfId="1039" priority="142">
      <formula>#REF!=6</formula>
    </cfRule>
  </conditionalFormatting>
  <conditionalFormatting sqref="F23:H23 H24:H26">
    <cfRule type="expression" dxfId="1038" priority="141">
      <formula>#REF!=1</formula>
    </cfRule>
  </conditionalFormatting>
  <conditionalFormatting sqref="F24:G24">
    <cfRule type="expression" dxfId="1037" priority="140">
      <formula>#REF!=2</formula>
    </cfRule>
  </conditionalFormatting>
  <conditionalFormatting sqref="F25:G26">
    <cfRule type="expression" dxfId="1036" priority="139">
      <formula>#REF!=3</formula>
    </cfRule>
  </conditionalFormatting>
  <conditionalFormatting sqref="F27:H27">
    <cfRule type="expression" dxfId="1035" priority="138">
      <formula>#REF!=5</formula>
    </cfRule>
  </conditionalFormatting>
  <conditionalFormatting sqref="F28:G28">
    <cfRule type="expression" dxfId="1034" priority="137">
      <formula>#REF!=6</formula>
    </cfRule>
  </conditionalFormatting>
  <conditionalFormatting sqref="H28">
    <cfRule type="expression" dxfId="1033" priority="136">
      <formula>#REF!=6</formula>
    </cfRule>
  </conditionalFormatting>
  <conditionalFormatting sqref="E28">
    <cfRule type="expression" dxfId="1032" priority="135">
      <formula>#REF!=6</formula>
    </cfRule>
  </conditionalFormatting>
  <conditionalFormatting sqref="C32:E32 C33:C36 E33:E35">
    <cfRule type="expression" dxfId="1031" priority="134">
      <formula>#REF!=1</formula>
    </cfRule>
  </conditionalFormatting>
  <conditionalFormatting sqref="D33">
    <cfRule type="expression" dxfId="1030" priority="133">
      <formula>#REF!=2</formula>
    </cfRule>
  </conditionalFormatting>
  <conditionalFormatting sqref="D34:D35">
    <cfRule type="expression" dxfId="1029" priority="132">
      <formula>#REF!=3</formula>
    </cfRule>
  </conditionalFormatting>
  <conditionalFormatting sqref="D36:E36">
    <cfRule type="expression" dxfId="1028" priority="131">
      <formula>#REF!=5</formula>
    </cfRule>
  </conditionalFormatting>
  <conditionalFormatting sqref="C37:D37">
    <cfRule type="expression" dxfId="1027" priority="130">
      <formula>#REF!=6</formula>
    </cfRule>
  </conditionalFormatting>
  <conditionalFormatting sqref="F32:H32 H33:H35">
    <cfRule type="expression" dxfId="1026" priority="129">
      <formula>#REF!=1</formula>
    </cfRule>
  </conditionalFormatting>
  <conditionalFormatting sqref="F33:G33">
    <cfRule type="expression" dxfId="1025" priority="128">
      <formula>#REF!=2</formula>
    </cfRule>
  </conditionalFormatting>
  <conditionalFormatting sqref="F34:G35">
    <cfRule type="expression" dxfId="1024" priority="127">
      <formula>#REF!=3</formula>
    </cfRule>
  </conditionalFormatting>
  <conditionalFormatting sqref="F36:H36">
    <cfRule type="expression" dxfId="1023" priority="126">
      <formula>#REF!=5</formula>
    </cfRule>
  </conditionalFormatting>
  <conditionalFormatting sqref="F37:G37">
    <cfRule type="expression" dxfId="1022" priority="125">
      <formula>#REF!=6</formula>
    </cfRule>
  </conditionalFormatting>
  <conditionalFormatting sqref="H37">
    <cfRule type="expression" dxfId="1021" priority="124">
      <formula>#REF!=6</formula>
    </cfRule>
  </conditionalFormatting>
  <conditionalFormatting sqref="E37">
    <cfRule type="expression" dxfId="1020" priority="123">
      <formula>#REF!=6</formula>
    </cfRule>
  </conditionalFormatting>
  <conditionalFormatting sqref="T5:T10 V5:V10">
    <cfRule type="expression" dxfId="1019" priority="122">
      <formula>$C$58=1</formula>
    </cfRule>
  </conditionalFormatting>
  <conditionalFormatting sqref="T14:T19 V14:V19">
    <cfRule type="expression" dxfId="1018" priority="118">
      <formula>$C$58=1</formula>
    </cfRule>
  </conditionalFormatting>
  <conditionalFormatting sqref="T23:T28 V23:V28">
    <cfRule type="expression" dxfId="1017" priority="117">
      <formula>$C$58=1</formula>
    </cfRule>
  </conditionalFormatting>
  <conditionalFormatting sqref="T32:T37 V32:V37">
    <cfRule type="expression" dxfId="1016" priority="116">
      <formula>$C$58=1</formula>
    </cfRule>
  </conditionalFormatting>
  <conditionalFormatting sqref="K5:N5 L6:L9">
    <cfRule type="expression" dxfId="1015" priority="115">
      <formula>$C$26=1</formula>
    </cfRule>
  </conditionalFormatting>
  <conditionalFormatting sqref="K7">
    <cfRule type="expression" dxfId="1014" priority="114">
      <formula>$C$26=3</formula>
    </cfRule>
  </conditionalFormatting>
  <conditionalFormatting sqref="K9 N9">
    <cfRule type="expression" dxfId="1013" priority="113">
      <formula>$C$26=5</formula>
    </cfRule>
  </conditionalFormatting>
  <conditionalFormatting sqref="M10 K10">
    <cfRule type="expression" dxfId="1012" priority="112">
      <formula>$C$26=6</formula>
    </cfRule>
  </conditionalFormatting>
  <conditionalFormatting sqref="K6">
    <cfRule type="expression" dxfId="1011" priority="111">
      <formula>$C$26=2</formula>
    </cfRule>
  </conditionalFormatting>
  <conditionalFormatting sqref="K8">
    <cfRule type="expression" dxfId="1010" priority="110">
      <formula>$C$26=4</formula>
    </cfRule>
  </conditionalFormatting>
  <conditionalFormatting sqref="M6">
    <cfRule type="expression" dxfId="1009" priority="109">
      <formula>$C$26=1</formula>
    </cfRule>
  </conditionalFormatting>
  <conditionalFormatting sqref="M7">
    <cfRule type="expression" dxfId="1008" priority="108">
      <formula>$C$26=1</formula>
    </cfRule>
  </conditionalFormatting>
  <conditionalFormatting sqref="M8">
    <cfRule type="expression" dxfId="1007" priority="107">
      <formula>$C$26=1</formula>
    </cfRule>
  </conditionalFormatting>
  <conditionalFormatting sqref="N6">
    <cfRule type="expression" dxfId="1006" priority="106">
      <formula>$C$26=1</formula>
    </cfRule>
  </conditionalFormatting>
  <conditionalFormatting sqref="N7">
    <cfRule type="expression" dxfId="1005" priority="105">
      <formula>$C$26=1</formula>
    </cfRule>
  </conditionalFormatting>
  <conditionalFormatting sqref="N8">
    <cfRule type="expression" dxfId="1004" priority="104">
      <formula>$C$26=1</formula>
    </cfRule>
  </conditionalFormatting>
  <conditionalFormatting sqref="K14:N14 L15:L18">
    <cfRule type="expression" dxfId="1003" priority="103">
      <formula>$C$26=1</formula>
    </cfRule>
  </conditionalFormatting>
  <conditionalFormatting sqref="K16 N16">
    <cfRule type="expression" dxfId="1002" priority="102">
      <formula>$C$26=3</formula>
    </cfRule>
  </conditionalFormatting>
  <conditionalFormatting sqref="K18 M18:N18">
    <cfRule type="expression" dxfId="1001" priority="101">
      <formula>$C$26=5</formula>
    </cfRule>
  </conditionalFormatting>
  <conditionalFormatting sqref="M19 K19">
    <cfRule type="expression" dxfId="1000" priority="100">
      <formula>$C$26=6</formula>
    </cfRule>
  </conditionalFormatting>
  <conditionalFormatting sqref="K15 N15">
    <cfRule type="expression" dxfId="999" priority="99">
      <formula>$C$26=2</formula>
    </cfRule>
  </conditionalFormatting>
  <conditionalFormatting sqref="K17 N17">
    <cfRule type="expression" dxfId="998" priority="98">
      <formula>$C$26=4</formula>
    </cfRule>
  </conditionalFormatting>
  <conditionalFormatting sqref="M15">
    <cfRule type="expression" dxfId="997" priority="97">
      <formula>$C$26=1</formula>
    </cfRule>
  </conditionalFormatting>
  <conditionalFormatting sqref="M16">
    <cfRule type="expression" dxfId="996" priority="96">
      <formula>$C$26=1</formula>
    </cfRule>
  </conditionalFormatting>
  <conditionalFormatting sqref="M17">
    <cfRule type="expression" dxfId="995" priority="95">
      <formula>$C$26=1</formula>
    </cfRule>
  </conditionalFormatting>
  <conditionalFormatting sqref="K23">
    <cfRule type="expression" dxfId="994" priority="94">
      <formula>$C$26=1</formula>
    </cfRule>
  </conditionalFormatting>
  <conditionalFormatting sqref="K25">
    <cfRule type="expression" dxfId="993" priority="93">
      <formula>$C$26=3</formula>
    </cfRule>
  </conditionalFormatting>
  <conditionalFormatting sqref="K27">
    <cfRule type="expression" dxfId="992" priority="92">
      <formula>$C$26=5</formula>
    </cfRule>
  </conditionalFormatting>
  <conditionalFormatting sqref="K28">
    <cfRule type="expression" dxfId="991" priority="91">
      <formula>$C$26=6</formula>
    </cfRule>
  </conditionalFormatting>
  <conditionalFormatting sqref="K24">
    <cfRule type="expression" dxfId="990" priority="90">
      <formula>$C$26=2</formula>
    </cfRule>
  </conditionalFormatting>
  <conditionalFormatting sqref="K26">
    <cfRule type="expression" dxfId="989" priority="89">
      <formula>$C$26=4</formula>
    </cfRule>
  </conditionalFormatting>
  <conditionalFormatting sqref="L23:N23 L24:L27">
    <cfRule type="expression" dxfId="988" priority="88">
      <formula>$C$26=1</formula>
    </cfRule>
  </conditionalFormatting>
  <conditionalFormatting sqref="M27:N27">
    <cfRule type="expression" dxfId="987" priority="87">
      <formula>$C$26=5</formula>
    </cfRule>
  </conditionalFormatting>
  <conditionalFormatting sqref="M28">
    <cfRule type="expression" dxfId="986" priority="86">
      <formula>$C$26=6</formula>
    </cfRule>
  </conditionalFormatting>
  <conditionalFormatting sqref="N24:N26">
    <cfRule type="expression" dxfId="985" priority="85">
      <formula>$C$26=2</formula>
    </cfRule>
  </conditionalFormatting>
  <conditionalFormatting sqref="M24">
    <cfRule type="expression" dxfId="984" priority="84">
      <formula>$C$26=1</formula>
    </cfRule>
  </conditionalFormatting>
  <conditionalFormatting sqref="M25">
    <cfRule type="expression" dxfId="983" priority="83">
      <formula>$C$26=1</formula>
    </cfRule>
  </conditionalFormatting>
  <conditionalFormatting sqref="M26">
    <cfRule type="expression" dxfId="982" priority="82">
      <formula>$C$26=1</formula>
    </cfRule>
  </conditionalFormatting>
  <conditionalFormatting sqref="P5:S9">
    <cfRule type="expression" dxfId="981" priority="80">
      <formula>$C$42=1</formula>
    </cfRule>
  </conditionalFormatting>
  <conditionalFormatting sqref="S10">
    <cfRule type="expression" dxfId="980" priority="79">
      <formula>$C$26=5</formula>
    </cfRule>
  </conditionalFormatting>
  <conditionalFormatting sqref="R10:S10 P10">
    <cfRule type="expression" dxfId="979" priority="78">
      <formula>$C$42=6</formula>
    </cfRule>
  </conditionalFormatting>
  <conditionalFormatting sqref="P14:S18">
    <cfRule type="expression" dxfId="978" priority="77">
      <formula>$C$42=1</formula>
    </cfRule>
  </conditionalFormatting>
  <conditionalFormatting sqref="S19">
    <cfRule type="expression" dxfId="977" priority="76">
      <formula>$C$26=5</formula>
    </cfRule>
  </conditionalFormatting>
  <conditionalFormatting sqref="R19:S19 P19">
    <cfRule type="expression" dxfId="976" priority="75">
      <formula>$C$42=6</formula>
    </cfRule>
  </conditionalFormatting>
  <conditionalFormatting sqref="S36:S37">
    <cfRule type="expression" dxfId="975" priority="48">
      <formula>$C$26=5</formula>
    </cfRule>
  </conditionalFormatting>
  <conditionalFormatting sqref="R37:S37 P37">
    <cfRule type="expression" dxfId="974" priority="47">
      <formula>$C$42=6</formula>
    </cfRule>
  </conditionalFormatting>
  <conditionalFormatting sqref="P23:Q23">
    <cfRule type="expression" dxfId="973" priority="71">
      <formula>$C$42=1</formula>
    </cfRule>
  </conditionalFormatting>
  <conditionalFormatting sqref="P24:Q24">
    <cfRule type="expression" dxfId="972" priority="70">
      <formula>$C$42=2</formula>
    </cfRule>
  </conditionalFormatting>
  <conditionalFormatting sqref="P25:Q25">
    <cfRule type="expression" dxfId="971" priority="69">
      <formula>$C$42=3</formula>
    </cfRule>
  </conditionalFormatting>
  <conditionalFormatting sqref="P26:Q26">
    <cfRule type="expression" dxfId="970" priority="68">
      <formula>$C$42=4</formula>
    </cfRule>
  </conditionalFormatting>
  <conditionalFormatting sqref="P27:Q27">
    <cfRule type="expression" dxfId="969" priority="67">
      <formula>$C$42=5</formula>
    </cfRule>
  </conditionalFormatting>
  <conditionalFormatting sqref="P28">
    <cfRule type="expression" dxfId="968" priority="66">
      <formula>$C$42=6</formula>
    </cfRule>
  </conditionalFormatting>
  <conditionalFormatting sqref="R23">
    <cfRule type="expression" dxfId="967" priority="65">
      <formula>$C$42=1</formula>
    </cfRule>
  </conditionalFormatting>
  <conditionalFormatting sqref="R24">
    <cfRule type="expression" dxfId="966" priority="64">
      <formula>$C$42=2</formula>
    </cfRule>
  </conditionalFormatting>
  <conditionalFormatting sqref="R25">
    <cfRule type="expression" dxfId="965" priority="63">
      <formula>$C$42=3</formula>
    </cfRule>
  </conditionalFormatting>
  <conditionalFormatting sqref="R26">
    <cfRule type="expression" dxfId="964" priority="62">
      <formula>$C$42=4</formula>
    </cfRule>
  </conditionalFormatting>
  <conditionalFormatting sqref="R27">
    <cfRule type="expression" dxfId="963" priority="61">
      <formula>$C$42=5</formula>
    </cfRule>
  </conditionalFormatting>
  <conditionalFormatting sqref="R28">
    <cfRule type="expression" dxfId="962" priority="60">
      <formula>$C$42=6</formula>
    </cfRule>
  </conditionalFormatting>
  <conditionalFormatting sqref="S23">
    <cfRule type="expression" dxfId="961" priority="59">
      <formula>$C$42=1</formula>
    </cfRule>
  </conditionalFormatting>
  <conditionalFormatting sqref="S25">
    <cfRule type="expression" dxfId="960" priority="58">
      <formula>$C$42=3</formula>
    </cfRule>
  </conditionalFormatting>
  <conditionalFormatting sqref="S27">
    <cfRule type="expression" dxfId="959" priority="57">
      <formula>$C$42=5</formula>
    </cfRule>
  </conditionalFormatting>
  <conditionalFormatting sqref="S24">
    <cfRule type="expression" dxfId="958" priority="56">
      <formula>$C$42=2</formula>
    </cfRule>
  </conditionalFormatting>
  <conditionalFormatting sqref="S27:S28">
    <cfRule type="expression" dxfId="957" priority="55">
      <formula>$C$26=5</formula>
    </cfRule>
  </conditionalFormatting>
  <conditionalFormatting sqref="S26">
    <cfRule type="expression" dxfId="956" priority="54">
      <formula>$C$42=4</formula>
    </cfRule>
  </conditionalFormatting>
  <conditionalFormatting sqref="S28">
    <cfRule type="expression" dxfId="955" priority="53">
      <formula>$C$42=6</formula>
    </cfRule>
  </conditionalFormatting>
  <conditionalFormatting sqref="P32:S32">
    <cfRule type="expression" dxfId="954" priority="52">
      <formula>$C$42=1</formula>
    </cfRule>
  </conditionalFormatting>
  <conditionalFormatting sqref="P34:S35">
    <cfRule type="expression" dxfId="953" priority="51">
      <formula>$C$42=3</formula>
    </cfRule>
  </conditionalFormatting>
  <conditionalFormatting sqref="P36:S36">
    <cfRule type="expression" dxfId="952" priority="50">
      <formula>$C$42=5</formula>
    </cfRule>
  </conditionalFormatting>
  <conditionalFormatting sqref="P33:S33">
    <cfRule type="expression" dxfId="951" priority="49">
      <formula>$C$42=2</formula>
    </cfRule>
  </conditionalFormatting>
  <conditionalFormatting sqref="M37 K37">
    <cfRule type="expression" dxfId="950" priority="46">
      <formula>$C$26=6</formula>
    </cfRule>
  </conditionalFormatting>
  <conditionalFormatting sqref="B41">
    <cfRule type="expression" dxfId="949" priority="45">
      <formula>#REF!=1</formula>
    </cfRule>
  </conditionalFormatting>
  <conditionalFormatting sqref="B42">
    <cfRule type="expression" dxfId="948" priority="44">
      <formula>#REF!=2</formula>
    </cfRule>
  </conditionalFormatting>
  <conditionalFormatting sqref="B43">
    <cfRule type="expression" dxfId="947" priority="43">
      <formula>#REF!=3</formula>
    </cfRule>
  </conditionalFormatting>
  <conditionalFormatting sqref="B44">
    <cfRule type="expression" dxfId="946" priority="42">
      <formula>#REF!=4</formula>
    </cfRule>
  </conditionalFormatting>
  <conditionalFormatting sqref="B45">
    <cfRule type="expression" dxfId="945" priority="41">
      <formula>#REF!=5</formula>
    </cfRule>
  </conditionalFormatting>
  <conditionalFormatting sqref="B46">
    <cfRule type="expression" dxfId="944" priority="40">
      <formula>#REF!=6</formula>
    </cfRule>
  </conditionalFormatting>
  <conditionalFormatting sqref="D40">
    <cfRule type="expression" dxfId="943" priority="39">
      <formula>#REF!&gt;0</formula>
    </cfRule>
  </conditionalFormatting>
  <conditionalFormatting sqref="E40">
    <cfRule type="expression" dxfId="942" priority="38">
      <formula>#REF!&gt;0</formula>
    </cfRule>
  </conditionalFormatting>
  <conditionalFormatting sqref="G40">
    <cfRule type="expression" dxfId="941" priority="37">
      <formula>#REF!&gt;0</formula>
    </cfRule>
  </conditionalFormatting>
  <conditionalFormatting sqref="H40">
    <cfRule type="expression" dxfId="940" priority="36">
      <formula>#REF!&gt;0</formula>
    </cfRule>
  </conditionalFormatting>
  <conditionalFormatting sqref="M40">
    <cfRule type="expression" dxfId="939" priority="35">
      <formula>AND($F$29=$G$26,$K$26&gt;=130)</formula>
    </cfRule>
  </conditionalFormatting>
  <conditionalFormatting sqref="N40">
    <cfRule type="expression" dxfId="938" priority="34">
      <formula>AND($G$29=$G$26,$K$26&gt;=130)</formula>
    </cfRule>
  </conditionalFormatting>
  <conditionalFormatting sqref="O40">
    <cfRule type="expression" dxfId="937" priority="33">
      <formula>AND($H$29=$G$26,$K$26&gt;=130)</formula>
    </cfRule>
  </conditionalFormatting>
  <conditionalFormatting sqref="S40">
    <cfRule type="expression" dxfId="936" priority="32">
      <formula>$J$45&gt;0</formula>
    </cfRule>
  </conditionalFormatting>
  <conditionalFormatting sqref="R40">
    <cfRule type="expression" dxfId="935" priority="31">
      <formula>$J$42&gt;0</formula>
    </cfRule>
  </conditionalFormatting>
  <conditionalFormatting sqref="C41:E41 C42:C45 E42:E44">
    <cfRule type="expression" dxfId="934" priority="30">
      <formula>#REF!=1</formula>
    </cfRule>
  </conditionalFormatting>
  <conditionalFormatting sqref="D42">
    <cfRule type="expression" dxfId="933" priority="29">
      <formula>#REF!=2</formula>
    </cfRule>
  </conditionalFormatting>
  <conditionalFormatting sqref="D43">
    <cfRule type="expression" dxfId="932" priority="28">
      <formula>#REF!=3</formula>
    </cfRule>
  </conditionalFormatting>
  <conditionalFormatting sqref="D44">
    <cfRule type="expression" dxfId="931" priority="27">
      <formula>#REF!=4</formula>
    </cfRule>
  </conditionalFormatting>
  <conditionalFormatting sqref="D45:E45">
    <cfRule type="expression" dxfId="930" priority="26">
      <formula>#REF!=5</formula>
    </cfRule>
  </conditionalFormatting>
  <conditionalFormatting sqref="C46:D46">
    <cfRule type="expression" dxfId="929" priority="25">
      <formula>#REF!=6</formula>
    </cfRule>
  </conditionalFormatting>
  <conditionalFormatting sqref="F41:H41 H42:H44">
    <cfRule type="expression" dxfId="928" priority="24">
      <formula>#REF!=1</formula>
    </cfRule>
  </conditionalFormatting>
  <conditionalFormatting sqref="F42:G42">
    <cfRule type="expression" dxfId="927" priority="23">
      <formula>#REF!=2</formula>
    </cfRule>
  </conditionalFormatting>
  <conditionalFormatting sqref="F43:G43">
    <cfRule type="expression" dxfId="926" priority="22">
      <formula>#REF!=3</formula>
    </cfRule>
  </conditionalFormatting>
  <conditionalFormatting sqref="F44:G44">
    <cfRule type="expression" dxfId="925" priority="21">
      <formula>#REF!=4</formula>
    </cfRule>
  </conditionalFormatting>
  <conditionalFormatting sqref="F45:H45">
    <cfRule type="expression" dxfId="924" priority="20">
      <formula>#REF!=5</formula>
    </cfRule>
  </conditionalFormatting>
  <conditionalFormatting sqref="F46:G46">
    <cfRule type="expression" dxfId="923" priority="19">
      <formula>#REF!=6</formula>
    </cfRule>
  </conditionalFormatting>
  <conditionalFormatting sqref="H46">
    <cfRule type="expression" dxfId="922" priority="18">
      <formula>#REF!=6</formula>
    </cfRule>
  </conditionalFormatting>
  <conditionalFormatting sqref="E46">
    <cfRule type="expression" dxfId="921" priority="17">
      <formula>#REF!=6</formula>
    </cfRule>
  </conditionalFormatting>
  <conditionalFormatting sqref="V46 T41 T46">
    <cfRule type="expression" dxfId="920" priority="10">
      <formula>$C$58=1</formula>
    </cfRule>
  </conditionalFormatting>
  <conditionalFormatting sqref="V45">
    <cfRule type="expression" dxfId="919" priority="9">
      <formula>$C$58=1</formula>
    </cfRule>
  </conditionalFormatting>
  <conditionalFormatting sqref="T42:T45">
    <cfRule type="expression" dxfId="918" priority="8">
      <formula>$C$58=1</formula>
    </cfRule>
  </conditionalFormatting>
  <conditionalFormatting sqref="V41:V44">
    <cfRule type="expression" dxfId="917" priority="7">
      <formula>$C$58=1</formula>
    </cfRule>
  </conditionalFormatting>
  <conditionalFormatting sqref="M46 K46">
    <cfRule type="expression" dxfId="916" priority="6">
      <formula>$C$26=6</formula>
    </cfRule>
  </conditionalFormatting>
  <conditionalFormatting sqref="P41:Q41">
    <cfRule type="expression" dxfId="915" priority="5">
      <formula>$C$42=1</formula>
    </cfRule>
  </conditionalFormatting>
  <conditionalFormatting sqref="P43:Q44">
    <cfRule type="expression" dxfId="914" priority="4">
      <formula>$C$42=3</formula>
    </cfRule>
  </conditionalFormatting>
  <conditionalFormatting sqref="P45:Q45">
    <cfRule type="expression" dxfId="913" priority="3">
      <formula>$C$42=5</formula>
    </cfRule>
  </conditionalFormatting>
  <conditionalFormatting sqref="P42:Q42">
    <cfRule type="expression" dxfId="912" priority="2">
      <formula>$C$42=2</formula>
    </cfRule>
  </conditionalFormatting>
  <conditionalFormatting sqref="P46">
    <cfRule type="expression" dxfId="911" priority="1">
      <formula>$C$42=6</formula>
    </cfRule>
  </conditionalFormatting>
  <hyperlinks>
    <hyperlink ref="A52" r:id="rId1" xr:uid="{00000000-0004-0000-0500-000000000000}"/>
    <hyperlink ref="AD3" r:id="rId2" xr:uid="{00000000-0004-0000-0500-000001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D50"/>
  <sheetViews>
    <sheetView topLeftCell="F31" zoomScaleNormal="100" workbookViewId="0">
      <selection activeCell="S46" sqref="P41:S47"/>
    </sheetView>
  </sheetViews>
  <sheetFormatPr baseColWidth="10" defaultRowHeight="15" x14ac:dyDescent="0.25"/>
  <cols>
    <col min="2" max="2" width="19.5703125" customWidth="1"/>
  </cols>
  <sheetData>
    <row r="1" spans="1:30" ht="26.25" thickBot="1" x14ac:dyDescent="0.3">
      <c r="A1" s="511" t="s">
        <v>112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180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127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187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2491.0500000000002</v>
      </c>
      <c r="D5" s="1">
        <v>483.68</v>
      </c>
      <c r="E5" s="1">
        <v>1612.27</v>
      </c>
      <c r="F5" s="1">
        <v>1337.28</v>
      </c>
      <c r="G5" s="1">
        <v>510.71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199">
        <v>0.11</v>
      </c>
      <c r="U5" s="200"/>
      <c r="V5" s="199" t="s">
        <v>122</v>
      </c>
      <c r="W5" s="200"/>
      <c r="X5" s="58">
        <v>-0.7</v>
      </c>
      <c r="Y5" s="341">
        <v>3157</v>
      </c>
      <c r="Z5" s="341"/>
      <c r="AA5" s="341">
        <v>127384</v>
      </c>
      <c r="AB5" s="341"/>
    </row>
    <row r="6" spans="1:30" ht="15.75" thickBot="1" x14ac:dyDescent="0.3">
      <c r="A6" s="491"/>
      <c r="B6" s="14" t="s">
        <v>21</v>
      </c>
      <c r="C6" s="39">
        <v>4982.09</v>
      </c>
      <c r="D6" s="10">
        <v>967.36</v>
      </c>
      <c r="E6" s="1">
        <v>1612.27</v>
      </c>
      <c r="F6" s="1">
        <v>2674.55</v>
      </c>
      <c r="G6" s="1">
        <v>1021.42</v>
      </c>
      <c r="H6" s="199">
        <v>1703.36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199">
        <v>0.14000000000000001</v>
      </c>
      <c r="U6" s="200"/>
      <c r="V6" s="199" t="s">
        <v>122</v>
      </c>
      <c r="W6" s="200"/>
      <c r="X6" s="58">
        <v>-0.4</v>
      </c>
      <c r="Y6" s="341">
        <v>1513</v>
      </c>
      <c r="Z6" s="341"/>
      <c r="AA6" s="341">
        <v>26669</v>
      </c>
      <c r="AB6" s="341"/>
    </row>
    <row r="7" spans="1:30" ht="15.75" thickBot="1" x14ac:dyDescent="0.3">
      <c r="A7" s="491"/>
      <c r="B7" s="14" t="s">
        <v>24</v>
      </c>
      <c r="C7" s="39">
        <v>7888.32</v>
      </c>
      <c r="D7" s="1">
        <v>1531.66</v>
      </c>
      <c r="E7" s="1">
        <v>1612.27</v>
      </c>
      <c r="F7" s="1">
        <v>3922.68</v>
      </c>
      <c r="G7" s="1">
        <v>1498.08</v>
      </c>
      <c r="H7" s="199">
        <v>1704.36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199">
        <v>0.25</v>
      </c>
      <c r="U7" s="200"/>
      <c r="V7" s="199" t="s">
        <v>122</v>
      </c>
      <c r="W7" s="200"/>
      <c r="X7" s="58">
        <v>-0.15</v>
      </c>
      <c r="Y7" s="341">
        <v>0</v>
      </c>
      <c r="Z7" s="341"/>
      <c r="AA7" s="341">
        <v>3051</v>
      </c>
      <c r="AB7" s="341"/>
    </row>
    <row r="8" spans="1:30" ht="15.75" thickBot="1" x14ac:dyDescent="0.3">
      <c r="A8" s="491"/>
      <c r="B8" s="14" t="s">
        <v>22</v>
      </c>
      <c r="C8" s="39">
        <v>8303.49</v>
      </c>
      <c r="D8" s="1">
        <v>1612.27</v>
      </c>
      <c r="E8" s="1">
        <v>1612.27</v>
      </c>
      <c r="F8" s="1">
        <v>4457.59</v>
      </c>
      <c r="G8" s="1">
        <v>1702.36</v>
      </c>
      <c r="H8" s="199">
        <v>1705.36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199">
        <v>0.62</v>
      </c>
      <c r="U8" s="200"/>
      <c r="V8" s="199" t="s">
        <v>122</v>
      </c>
      <c r="W8" s="200"/>
      <c r="X8" s="58">
        <v>0</v>
      </c>
      <c r="Y8" s="296">
        <v>4670</v>
      </c>
      <c r="Z8" s="297"/>
      <c r="AA8" s="296">
        <v>157104</v>
      </c>
      <c r="AB8" s="297"/>
    </row>
    <row r="9" spans="1:30" ht="15.75" thickBot="1" x14ac:dyDescent="0.3">
      <c r="A9" s="491"/>
      <c r="B9" s="21" t="s">
        <v>23</v>
      </c>
      <c r="C9" s="39">
        <v>12455.24</v>
      </c>
      <c r="D9" s="22">
        <v>2418.41</v>
      </c>
      <c r="E9" s="22">
        <v>2418.41</v>
      </c>
      <c r="F9" s="22">
        <v>6686.39</v>
      </c>
      <c r="G9" s="22">
        <v>2553.54</v>
      </c>
      <c r="H9" s="308">
        <v>2553.54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199">
        <v>1</v>
      </c>
      <c r="U9" s="200"/>
      <c r="V9" s="199" t="s">
        <v>122</v>
      </c>
      <c r="W9" s="200"/>
      <c r="X9" s="58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13285.58</v>
      </c>
      <c r="D10" s="215">
        <v>2579.63</v>
      </c>
      <c r="E10" s="215">
        <v>2579.63</v>
      </c>
      <c r="F10" s="215">
        <v>7132.14</v>
      </c>
      <c r="G10" s="215">
        <v>2723.78</v>
      </c>
      <c r="H10" s="207">
        <v>2723.78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1.52</v>
      </c>
      <c r="U10" s="297"/>
      <c r="V10" s="296" t="s">
        <v>122</v>
      </c>
      <c r="W10" s="297"/>
      <c r="X10" s="215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216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127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2491.0500000000002</v>
      </c>
      <c r="D14" s="1">
        <v>483.68</v>
      </c>
      <c r="E14" s="1">
        <v>1612.27</v>
      </c>
      <c r="F14" s="1">
        <v>1337.28</v>
      </c>
      <c r="G14" s="1">
        <v>510.71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199">
        <v>0.11</v>
      </c>
      <c r="U14" s="200"/>
      <c r="V14" s="199" t="s">
        <v>122</v>
      </c>
      <c r="W14" s="200"/>
      <c r="X14" s="58">
        <v>-0.7</v>
      </c>
      <c r="Y14" s="341">
        <v>3157</v>
      </c>
      <c r="Z14" s="341"/>
      <c r="AA14" s="341">
        <v>127384</v>
      </c>
      <c r="AB14" s="341"/>
    </row>
    <row r="15" spans="1:30" ht="15.75" thickBot="1" x14ac:dyDescent="0.3">
      <c r="A15" s="491"/>
      <c r="B15" s="14" t="s">
        <v>21</v>
      </c>
      <c r="C15" s="39">
        <v>4982.09</v>
      </c>
      <c r="D15" s="10">
        <v>967.36</v>
      </c>
      <c r="E15" s="1">
        <v>1612.27</v>
      </c>
      <c r="F15" s="1">
        <v>2674.55</v>
      </c>
      <c r="G15" s="1">
        <v>1021.42</v>
      </c>
      <c r="H15" s="199">
        <v>1703.36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199">
        <v>0.14000000000000001</v>
      </c>
      <c r="U15" s="200"/>
      <c r="V15" s="199" t="s">
        <v>122</v>
      </c>
      <c r="W15" s="200"/>
      <c r="X15" s="58">
        <v>-0.4</v>
      </c>
      <c r="Y15" s="341">
        <v>1513</v>
      </c>
      <c r="Z15" s="341"/>
      <c r="AA15" s="341">
        <v>26669</v>
      </c>
      <c r="AB15" s="341"/>
    </row>
    <row r="16" spans="1:30" ht="15.75" thickBot="1" x14ac:dyDescent="0.3">
      <c r="A16" s="491"/>
      <c r="B16" s="14" t="s">
        <v>24</v>
      </c>
      <c r="C16" s="39">
        <v>7888.32</v>
      </c>
      <c r="D16" s="1">
        <v>1531.66</v>
      </c>
      <c r="E16" s="1">
        <v>1612.27</v>
      </c>
      <c r="F16" s="1">
        <v>3922.68</v>
      </c>
      <c r="G16" s="1">
        <v>1498.08</v>
      </c>
      <c r="H16" s="199">
        <v>1704.36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199">
        <v>0.25</v>
      </c>
      <c r="U16" s="200"/>
      <c r="V16" s="199" t="s">
        <v>122</v>
      </c>
      <c r="W16" s="200"/>
      <c r="X16" s="58">
        <v>-0.15</v>
      </c>
      <c r="Y16" s="341">
        <v>0</v>
      </c>
      <c r="Z16" s="341"/>
      <c r="AA16" s="341">
        <v>3051</v>
      </c>
      <c r="AB16" s="341"/>
    </row>
    <row r="17" spans="1:28" ht="15.75" thickBot="1" x14ac:dyDescent="0.3">
      <c r="A17" s="491"/>
      <c r="B17" s="14" t="s">
        <v>22</v>
      </c>
      <c r="C17" s="39">
        <v>8303.49</v>
      </c>
      <c r="D17" s="1">
        <v>1612.27</v>
      </c>
      <c r="E17" s="1">
        <v>1612.27</v>
      </c>
      <c r="F17" s="1">
        <v>4457.59</v>
      </c>
      <c r="G17" s="1">
        <v>1702.36</v>
      </c>
      <c r="H17" s="199">
        <v>1705.36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199">
        <v>0.62</v>
      </c>
      <c r="U17" s="200"/>
      <c r="V17" s="199" t="s">
        <v>122</v>
      </c>
      <c r="W17" s="200"/>
      <c r="X17" s="58">
        <v>0</v>
      </c>
      <c r="Y17" s="296">
        <v>4670</v>
      </c>
      <c r="Z17" s="297"/>
      <c r="AA17" s="296">
        <v>157104</v>
      </c>
      <c r="AB17" s="297"/>
    </row>
    <row r="18" spans="1:28" ht="15.75" thickBot="1" x14ac:dyDescent="0.3">
      <c r="A18" s="491"/>
      <c r="B18" s="21" t="s">
        <v>23</v>
      </c>
      <c r="C18" s="39">
        <v>12455.24</v>
      </c>
      <c r="D18" s="22">
        <v>2418.41</v>
      </c>
      <c r="E18" s="22">
        <v>2418.41</v>
      </c>
      <c r="F18" s="22">
        <v>6686.39</v>
      </c>
      <c r="G18" s="22">
        <v>2553.54</v>
      </c>
      <c r="H18" s="308">
        <v>2553.54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199">
        <v>1</v>
      </c>
      <c r="U18" s="200"/>
      <c r="V18" s="199" t="s">
        <v>122</v>
      </c>
      <c r="W18" s="200"/>
      <c r="X18" s="58">
        <v>0.5</v>
      </c>
      <c r="Y18" s="519"/>
      <c r="Z18" s="520"/>
      <c r="AA18" s="519"/>
      <c r="AB18" s="520"/>
    </row>
    <row r="19" spans="1:28" x14ac:dyDescent="0.25">
      <c r="A19" s="491"/>
      <c r="B19" s="351" t="s">
        <v>26</v>
      </c>
      <c r="C19" s="215">
        <v>13285.58</v>
      </c>
      <c r="D19" s="215">
        <v>2579.63</v>
      </c>
      <c r="E19" s="215">
        <v>2579.63</v>
      </c>
      <c r="F19" s="215">
        <v>7132.14</v>
      </c>
      <c r="G19" s="215">
        <v>2723.78</v>
      </c>
      <c r="H19" s="207">
        <v>2723.78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1.52</v>
      </c>
      <c r="U19" s="297"/>
      <c r="V19" s="296" t="s">
        <v>122</v>
      </c>
      <c r="W19" s="297"/>
      <c r="X19" s="215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216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127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2491.0500000000002</v>
      </c>
      <c r="D23" s="1">
        <v>483.68</v>
      </c>
      <c r="E23" s="1">
        <v>1612.27</v>
      </c>
      <c r="F23" s="1">
        <v>1337.28</v>
      </c>
      <c r="G23" s="1">
        <v>510.71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199">
        <v>0.11</v>
      </c>
      <c r="U23" s="200"/>
      <c r="V23" s="199" t="s">
        <v>122</v>
      </c>
      <c r="W23" s="200"/>
      <c r="X23" s="58">
        <v>-0.7</v>
      </c>
      <c r="Y23" s="341">
        <v>3157</v>
      </c>
      <c r="Z23" s="341"/>
      <c r="AA23" s="341">
        <v>127384</v>
      </c>
      <c r="AB23" s="341"/>
    </row>
    <row r="24" spans="1:28" ht="15.75" thickBot="1" x14ac:dyDescent="0.3">
      <c r="A24" s="491"/>
      <c r="B24" s="14" t="s">
        <v>21</v>
      </c>
      <c r="C24" s="39">
        <v>4982.09</v>
      </c>
      <c r="D24" s="10">
        <v>967.36</v>
      </c>
      <c r="E24" s="1">
        <v>1612.27</v>
      </c>
      <c r="F24" s="1">
        <v>2674.55</v>
      </c>
      <c r="G24" s="1">
        <v>1021.42</v>
      </c>
      <c r="H24" s="199">
        <v>1703.36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199">
        <v>0.14000000000000001</v>
      </c>
      <c r="U24" s="200"/>
      <c r="V24" s="199" t="s">
        <v>122</v>
      </c>
      <c r="W24" s="200"/>
      <c r="X24" s="58">
        <v>-0.4</v>
      </c>
      <c r="Y24" s="341">
        <v>1513</v>
      </c>
      <c r="Z24" s="341"/>
      <c r="AA24" s="341">
        <v>26669</v>
      </c>
      <c r="AB24" s="341"/>
    </row>
    <row r="25" spans="1:28" ht="15.75" thickBot="1" x14ac:dyDescent="0.3">
      <c r="A25" s="491"/>
      <c r="B25" s="14" t="s">
        <v>24</v>
      </c>
      <c r="C25" s="39">
        <v>7888.32</v>
      </c>
      <c r="D25" s="1">
        <v>1531.66</v>
      </c>
      <c r="E25" s="1">
        <v>1612.27</v>
      </c>
      <c r="F25" s="1">
        <v>3922.68</v>
      </c>
      <c r="G25" s="1">
        <v>1498.08</v>
      </c>
      <c r="H25" s="199">
        <v>1704.36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199">
        <v>0.25</v>
      </c>
      <c r="U25" s="200"/>
      <c r="V25" s="199" t="s">
        <v>122</v>
      </c>
      <c r="W25" s="200"/>
      <c r="X25" s="58">
        <v>-0.15</v>
      </c>
      <c r="Y25" s="341">
        <v>0</v>
      </c>
      <c r="Z25" s="341"/>
      <c r="AA25" s="341">
        <v>3051</v>
      </c>
      <c r="AB25" s="341"/>
    </row>
    <row r="26" spans="1:28" ht="15.75" thickBot="1" x14ac:dyDescent="0.3">
      <c r="A26" s="491"/>
      <c r="B26" s="14" t="s">
        <v>22</v>
      </c>
      <c r="C26" s="39">
        <v>8303.49</v>
      </c>
      <c r="D26" s="1">
        <v>1612.27</v>
      </c>
      <c r="E26" s="1">
        <v>1612.27</v>
      </c>
      <c r="F26" s="1">
        <v>4457.59</v>
      </c>
      <c r="G26" s="1">
        <v>1702.36</v>
      </c>
      <c r="H26" s="199">
        <v>1705.36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199">
        <v>0.62</v>
      </c>
      <c r="U26" s="200"/>
      <c r="V26" s="199" t="s">
        <v>122</v>
      </c>
      <c r="W26" s="200"/>
      <c r="X26" s="58">
        <v>0</v>
      </c>
      <c r="Y26" s="296">
        <v>4670</v>
      </c>
      <c r="Z26" s="297"/>
      <c r="AA26" s="296">
        <v>157104</v>
      </c>
      <c r="AB26" s="297"/>
    </row>
    <row r="27" spans="1:28" ht="15.75" thickBot="1" x14ac:dyDescent="0.3">
      <c r="A27" s="491"/>
      <c r="B27" s="21" t="s">
        <v>23</v>
      </c>
      <c r="C27" s="39">
        <v>12455.24</v>
      </c>
      <c r="D27" s="22">
        <v>2418.41</v>
      </c>
      <c r="E27" s="22">
        <v>2418.41</v>
      </c>
      <c r="F27" s="22">
        <v>6686.39</v>
      </c>
      <c r="G27" s="22">
        <v>2553.54</v>
      </c>
      <c r="H27" s="308">
        <v>2553.54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199">
        <v>1</v>
      </c>
      <c r="U27" s="200"/>
      <c r="V27" s="199" t="s">
        <v>122</v>
      </c>
      <c r="W27" s="200"/>
      <c r="X27" s="58">
        <v>0.5</v>
      </c>
      <c r="Y27" s="519"/>
      <c r="Z27" s="520"/>
      <c r="AA27" s="519"/>
      <c r="AB27" s="520"/>
    </row>
    <row r="28" spans="1:28" x14ac:dyDescent="0.25">
      <c r="A28" s="491"/>
      <c r="B28" s="351" t="s">
        <v>26</v>
      </c>
      <c r="C28" s="215">
        <v>13285.58</v>
      </c>
      <c r="D28" s="215">
        <v>2579.63</v>
      </c>
      <c r="E28" s="215">
        <v>2579.63</v>
      </c>
      <c r="F28" s="215">
        <v>7132.14</v>
      </c>
      <c r="G28" s="215">
        <v>2723.78</v>
      </c>
      <c r="H28" s="207">
        <v>2723.78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1.52</v>
      </c>
      <c r="U28" s="297"/>
      <c r="V28" s="296" t="s">
        <v>122</v>
      </c>
      <c r="W28" s="297"/>
      <c r="X28" s="215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216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127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2491.0500000000002</v>
      </c>
      <c r="D32" s="1">
        <v>483.68</v>
      </c>
      <c r="E32" s="1">
        <v>1612.27</v>
      </c>
      <c r="F32" s="1">
        <v>1337.28</v>
      </c>
      <c r="G32" s="1">
        <v>510.71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199">
        <v>0.11</v>
      </c>
      <c r="U32" s="200"/>
      <c r="V32" s="199" t="s">
        <v>122</v>
      </c>
      <c r="W32" s="200"/>
      <c r="X32" s="58">
        <v>-0.7</v>
      </c>
      <c r="Y32" s="341">
        <v>3157</v>
      </c>
      <c r="Z32" s="341"/>
      <c r="AA32" s="341">
        <v>127384</v>
      </c>
      <c r="AB32" s="341"/>
    </row>
    <row r="33" spans="1:28" ht="15.75" thickBot="1" x14ac:dyDescent="0.3">
      <c r="A33" s="491"/>
      <c r="B33" s="14" t="s">
        <v>21</v>
      </c>
      <c r="C33" s="39">
        <v>4982.09</v>
      </c>
      <c r="D33" s="10">
        <v>967.36</v>
      </c>
      <c r="E33" s="1">
        <v>1612.27</v>
      </c>
      <c r="F33" s="1">
        <v>2674.55</v>
      </c>
      <c r="G33" s="1">
        <v>1021.42</v>
      </c>
      <c r="H33" s="199">
        <v>1703.36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199">
        <v>0.14000000000000001</v>
      </c>
      <c r="U33" s="200"/>
      <c r="V33" s="199" t="s">
        <v>122</v>
      </c>
      <c r="W33" s="200"/>
      <c r="X33" s="58">
        <v>-0.4</v>
      </c>
      <c r="Y33" s="341">
        <v>1513</v>
      </c>
      <c r="Z33" s="341"/>
      <c r="AA33" s="341">
        <v>26669</v>
      </c>
      <c r="AB33" s="341"/>
    </row>
    <row r="34" spans="1:28" ht="15.75" thickBot="1" x14ac:dyDescent="0.3">
      <c r="A34" s="491"/>
      <c r="B34" s="14" t="s">
        <v>24</v>
      </c>
      <c r="C34" s="39">
        <v>7888.32</v>
      </c>
      <c r="D34" s="1">
        <v>1531.66</v>
      </c>
      <c r="E34" s="1">
        <v>1612.27</v>
      </c>
      <c r="F34" s="1">
        <v>3922.68</v>
      </c>
      <c r="G34" s="1">
        <v>1498.08</v>
      </c>
      <c r="H34" s="199">
        <v>1704.36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199">
        <v>0.25</v>
      </c>
      <c r="U34" s="200"/>
      <c r="V34" s="199" t="s">
        <v>122</v>
      </c>
      <c r="W34" s="200"/>
      <c r="X34" s="58">
        <v>-0.15</v>
      </c>
      <c r="Y34" s="341">
        <v>0</v>
      </c>
      <c r="Z34" s="341"/>
      <c r="AA34" s="341">
        <v>3051</v>
      </c>
      <c r="AB34" s="341"/>
    </row>
    <row r="35" spans="1:28" ht="15.75" thickBot="1" x14ac:dyDescent="0.3">
      <c r="A35" s="491"/>
      <c r="B35" s="14" t="s">
        <v>22</v>
      </c>
      <c r="C35" s="39">
        <v>8303.49</v>
      </c>
      <c r="D35" s="1">
        <v>1612.27</v>
      </c>
      <c r="E35" s="1">
        <v>1612.27</v>
      </c>
      <c r="F35" s="1">
        <v>4457.59</v>
      </c>
      <c r="G35" s="1">
        <v>1702.36</v>
      </c>
      <c r="H35" s="199">
        <v>1705.36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199">
        <v>0.62</v>
      </c>
      <c r="U35" s="200"/>
      <c r="V35" s="199" t="s">
        <v>122</v>
      </c>
      <c r="W35" s="200"/>
      <c r="X35" s="58">
        <v>0</v>
      </c>
      <c r="Y35" s="296">
        <v>4670</v>
      </c>
      <c r="Z35" s="297"/>
      <c r="AA35" s="296">
        <v>157104</v>
      </c>
      <c r="AB35" s="297"/>
    </row>
    <row r="36" spans="1:28" ht="15.75" thickBot="1" x14ac:dyDescent="0.3">
      <c r="A36" s="491"/>
      <c r="B36" s="21" t="s">
        <v>23</v>
      </c>
      <c r="C36" s="39">
        <v>12455.24</v>
      </c>
      <c r="D36" s="22">
        <v>2418.41</v>
      </c>
      <c r="E36" s="22">
        <v>2418.41</v>
      </c>
      <c r="F36" s="22">
        <v>6686.39</v>
      </c>
      <c r="G36" s="22">
        <v>2553.54</v>
      </c>
      <c r="H36" s="308">
        <v>2553.54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199">
        <v>1</v>
      </c>
      <c r="U36" s="200"/>
      <c r="V36" s="199" t="s">
        <v>122</v>
      </c>
      <c r="W36" s="200"/>
      <c r="X36" s="58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13285.58</v>
      </c>
      <c r="D37" s="215">
        <v>2579.63</v>
      </c>
      <c r="E37" s="215">
        <v>2579.63</v>
      </c>
      <c r="F37" s="215">
        <v>7132.14</v>
      </c>
      <c r="G37" s="215">
        <v>2723.78</v>
      </c>
      <c r="H37" s="207">
        <v>2723.78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1.52</v>
      </c>
      <c r="U37" s="297"/>
      <c r="V37" s="296" t="s">
        <v>122</v>
      </c>
      <c r="W37" s="297"/>
      <c r="X37" s="215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216"/>
      <c r="Y38" s="298"/>
      <c r="Z38" s="299"/>
      <c r="AA38" s="298"/>
      <c r="AB38" s="299"/>
    </row>
    <row r="39" spans="1:28" ht="15" customHeight="1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  <row r="50" spans="1:1" x14ac:dyDescent="0.25">
      <c r="A50" s="57" t="s">
        <v>126</v>
      </c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Y35:Z38"/>
    <mergeCell ref="AA35:AB38"/>
    <mergeCell ref="X37:X38"/>
    <mergeCell ref="A1:W1"/>
    <mergeCell ref="B2:E2"/>
    <mergeCell ref="F2:I2"/>
    <mergeCell ref="J2:O2"/>
    <mergeCell ref="P2:S2"/>
    <mergeCell ref="T2:W2"/>
    <mergeCell ref="P5:Q5"/>
    <mergeCell ref="H6:I6"/>
    <mergeCell ref="P6:Q6"/>
    <mergeCell ref="A3:A11"/>
    <mergeCell ref="B3:B4"/>
    <mergeCell ref="C3:C4"/>
    <mergeCell ref="D3:E3"/>
    <mergeCell ref="F3:F4"/>
    <mergeCell ref="B10:B11"/>
    <mergeCell ref="C10:C11"/>
    <mergeCell ref="R10:R11"/>
    <mergeCell ref="S10:S11"/>
    <mergeCell ref="M10:M11"/>
    <mergeCell ref="N10:N11"/>
    <mergeCell ref="T10:U11"/>
    <mergeCell ref="V10:W11"/>
    <mergeCell ref="J10:J11"/>
    <mergeCell ref="H7:I7"/>
    <mergeCell ref="P7:Q7"/>
    <mergeCell ref="J3:L3"/>
    <mergeCell ref="M3:O3"/>
    <mergeCell ref="P3:Q4"/>
    <mergeCell ref="R3:S3"/>
    <mergeCell ref="T3:W4"/>
    <mergeCell ref="H4:I4"/>
    <mergeCell ref="G3:I3"/>
    <mergeCell ref="H5:I5"/>
    <mergeCell ref="T5:U5"/>
    <mergeCell ref="V5:W5"/>
    <mergeCell ref="T6:U6"/>
    <mergeCell ref="V6:W6"/>
    <mergeCell ref="T7:U7"/>
    <mergeCell ref="V7:W7"/>
    <mergeCell ref="T8:U8"/>
    <mergeCell ref="V8:W8"/>
    <mergeCell ref="T9:U9"/>
    <mergeCell ref="V9:W9"/>
    <mergeCell ref="P8:Q8"/>
    <mergeCell ref="H9:I9"/>
    <mergeCell ref="P9:Q9"/>
    <mergeCell ref="J12:L12"/>
    <mergeCell ref="D10:D11"/>
    <mergeCell ref="E10:E11"/>
    <mergeCell ref="F10:F11"/>
    <mergeCell ref="H8:I8"/>
    <mergeCell ref="G10:G11"/>
    <mergeCell ref="H10:I11"/>
    <mergeCell ref="M12:O12"/>
    <mergeCell ref="P12:Q13"/>
    <mergeCell ref="O10:O11"/>
    <mergeCell ref="R12:S12"/>
    <mergeCell ref="T12:W13"/>
    <mergeCell ref="P10:Q11"/>
    <mergeCell ref="K10:K11"/>
    <mergeCell ref="L10:L11"/>
    <mergeCell ref="A12:A20"/>
    <mergeCell ref="B12:B13"/>
    <mergeCell ref="C12:C13"/>
    <mergeCell ref="D12:E12"/>
    <mergeCell ref="F12:F13"/>
    <mergeCell ref="G12:I12"/>
    <mergeCell ref="H16:I16"/>
    <mergeCell ref="H18:I18"/>
    <mergeCell ref="B19:B20"/>
    <mergeCell ref="C19:C20"/>
    <mergeCell ref="H13:I13"/>
    <mergeCell ref="D19:D20"/>
    <mergeCell ref="E19:E20"/>
    <mergeCell ref="F19:F20"/>
    <mergeCell ref="G19:G20"/>
    <mergeCell ref="H19:I20"/>
    <mergeCell ref="V18:W18"/>
    <mergeCell ref="P16:Q16"/>
    <mergeCell ref="H17:I17"/>
    <mergeCell ref="P17:Q17"/>
    <mergeCell ref="H14:I14"/>
    <mergeCell ref="P14:Q14"/>
    <mergeCell ref="H15:I15"/>
    <mergeCell ref="P15:Q15"/>
    <mergeCell ref="T14:U14"/>
    <mergeCell ref="V14:W14"/>
    <mergeCell ref="T15:U15"/>
    <mergeCell ref="V15:W15"/>
    <mergeCell ref="T16:U16"/>
    <mergeCell ref="V16:W16"/>
    <mergeCell ref="T17:U17"/>
    <mergeCell ref="V17:W17"/>
    <mergeCell ref="P18:Q18"/>
    <mergeCell ref="T18:U18"/>
    <mergeCell ref="J19:J20"/>
    <mergeCell ref="K19:K20"/>
    <mergeCell ref="L19:L20"/>
    <mergeCell ref="M19:M20"/>
    <mergeCell ref="N19:N20"/>
    <mergeCell ref="O19:O20"/>
    <mergeCell ref="V25:W25"/>
    <mergeCell ref="M21:O21"/>
    <mergeCell ref="P21:Q22"/>
    <mergeCell ref="R21:S21"/>
    <mergeCell ref="T21:W22"/>
    <mergeCell ref="H22:I22"/>
    <mergeCell ref="P25:Q25"/>
    <mergeCell ref="T19:U20"/>
    <mergeCell ref="V19:W20"/>
    <mergeCell ref="P19:Q20"/>
    <mergeCell ref="R19:R20"/>
    <mergeCell ref="S19:S20"/>
    <mergeCell ref="A30:A38"/>
    <mergeCell ref="B30:B31"/>
    <mergeCell ref="C30:C31"/>
    <mergeCell ref="D30:E30"/>
    <mergeCell ref="F30:F31"/>
    <mergeCell ref="G30:I30"/>
    <mergeCell ref="J28:J29"/>
    <mergeCell ref="K28:K29"/>
    <mergeCell ref="L28:L29"/>
    <mergeCell ref="A21:A29"/>
    <mergeCell ref="B21:B22"/>
    <mergeCell ref="C21:C22"/>
    <mergeCell ref="D21:E21"/>
    <mergeCell ref="F21:F22"/>
    <mergeCell ref="J30:L30"/>
    <mergeCell ref="H34:I34"/>
    <mergeCell ref="H26:I26"/>
    <mergeCell ref="H23:I23"/>
    <mergeCell ref="H24:I24"/>
    <mergeCell ref="H36:I36"/>
    <mergeCell ref="G21:I21"/>
    <mergeCell ref="H25:I25"/>
    <mergeCell ref="J21:L21"/>
    <mergeCell ref="V36:W36"/>
    <mergeCell ref="B28:B29"/>
    <mergeCell ref="C28:C29"/>
    <mergeCell ref="D28:D29"/>
    <mergeCell ref="E28:E29"/>
    <mergeCell ref="F28:F29"/>
    <mergeCell ref="G28:G29"/>
    <mergeCell ref="H28:I29"/>
    <mergeCell ref="T27:U27"/>
    <mergeCell ref="V27:W27"/>
    <mergeCell ref="H27:I27"/>
    <mergeCell ref="M30:O30"/>
    <mergeCell ref="P30:Q31"/>
    <mergeCell ref="R30:S30"/>
    <mergeCell ref="T30:W31"/>
    <mergeCell ref="H31:I31"/>
    <mergeCell ref="P28:Q29"/>
    <mergeCell ref="R28:R29"/>
    <mergeCell ref="S28:S29"/>
    <mergeCell ref="M28:M29"/>
    <mergeCell ref="N28:N29"/>
    <mergeCell ref="O28:O29"/>
    <mergeCell ref="T28:U29"/>
    <mergeCell ref="V28:W29"/>
    <mergeCell ref="P26:Q26"/>
    <mergeCell ref="P23:Q23"/>
    <mergeCell ref="P24:Q24"/>
    <mergeCell ref="T23:U23"/>
    <mergeCell ref="V23:W23"/>
    <mergeCell ref="T24:U24"/>
    <mergeCell ref="V24:W24"/>
    <mergeCell ref="T25:U25"/>
    <mergeCell ref="T26:U26"/>
    <mergeCell ref="V26:W26"/>
    <mergeCell ref="P27:Q27"/>
    <mergeCell ref="V37:W38"/>
    <mergeCell ref="P34:Q34"/>
    <mergeCell ref="H35:I35"/>
    <mergeCell ref="P35:Q35"/>
    <mergeCell ref="H32:I32"/>
    <mergeCell ref="P32:Q32"/>
    <mergeCell ref="H33:I33"/>
    <mergeCell ref="P33:Q33"/>
    <mergeCell ref="T32:U32"/>
    <mergeCell ref="V32:W32"/>
    <mergeCell ref="T33:U33"/>
    <mergeCell ref="V33:W33"/>
    <mergeCell ref="T34:U34"/>
    <mergeCell ref="V34:W34"/>
    <mergeCell ref="T35:U35"/>
    <mergeCell ref="V35:W35"/>
    <mergeCell ref="R37:R38"/>
    <mergeCell ref="S37:S38"/>
    <mergeCell ref="J37:J38"/>
    <mergeCell ref="K37:K38"/>
    <mergeCell ref="L37:L38"/>
    <mergeCell ref="M37:M38"/>
    <mergeCell ref="N37:N38"/>
    <mergeCell ref="O37:O38"/>
    <mergeCell ref="T36:U36"/>
    <mergeCell ref="P36:Q36"/>
    <mergeCell ref="B37:B38"/>
    <mergeCell ref="C37:C38"/>
    <mergeCell ref="D37:D38"/>
    <mergeCell ref="E37:E38"/>
    <mergeCell ref="F37:F38"/>
    <mergeCell ref="G37:G38"/>
    <mergeCell ref="H37:I38"/>
    <mergeCell ref="P37:Q38"/>
    <mergeCell ref="T37:U38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8:Z11"/>
    <mergeCell ref="AA8:AB11"/>
    <mergeCell ref="X10:X11"/>
    <mergeCell ref="X12:X13"/>
    <mergeCell ref="Y12:Z13"/>
    <mergeCell ref="AA12:AB13"/>
    <mergeCell ref="Y14:Z14"/>
    <mergeCell ref="AA14:AB14"/>
    <mergeCell ref="Y15:Z15"/>
    <mergeCell ref="AA15:AB15"/>
    <mergeCell ref="X28:X29"/>
    <mergeCell ref="X30:X31"/>
    <mergeCell ref="Y30:Z31"/>
    <mergeCell ref="AA30:AB31"/>
    <mergeCell ref="Y16:Z16"/>
    <mergeCell ref="AA16:AB16"/>
    <mergeCell ref="Y17:Z20"/>
    <mergeCell ref="AA17:AB20"/>
    <mergeCell ref="X19:X20"/>
    <mergeCell ref="X21:X22"/>
    <mergeCell ref="Y21:Z22"/>
    <mergeCell ref="AA21:AB22"/>
    <mergeCell ref="Y23:Z23"/>
    <mergeCell ref="AA23:AB23"/>
    <mergeCell ref="Y32:Z32"/>
    <mergeCell ref="AA32:AB32"/>
    <mergeCell ref="Y33:Z33"/>
    <mergeCell ref="AA33:AB33"/>
    <mergeCell ref="Y34:Z34"/>
    <mergeCell ref="Y24:Z24"/>
    <mergeCell ref="AA24:AB24"/>
    <mergeCell ref="Y25:Z25"/>
    <mergeCell ref="AA25:AB25"/>
    <mergeCell ref="Y26:Z29"/>
    <mergeCell ref="AA26:AB29"/>
    <mergeCell ref="AA34:AB34"/>
  </mergeCells>
  <conditionalFormatting sqref="B5:E5 C6:C9 B14 B23 B32 E6:E8">
    <cfRule type="expression" dxfId="910" priority="301">
      <formula>#REF!=1</formula>
    </cfRule>
  </conditionalFormatting>
  <conditionalFormatting sqref="B6 D6 B15 B24 B33">
    <cfRule type="expression" dxfId="909" priority="300">
      <formula>#REF!=2</formula>
    </cfRule>
  </conditionalFormatting>
  <conditionalFormatting sqref="B7 D7 B16 B25 B34">
    <cfRule type="expression" dxfId="908" priority="299">
      <formula>#REF!=3</formula>
    </cfRule>
  </conditionalFormatting>
  <conditionalFormatting sqref="B8 D8 B17 B26 B35">
    <cfRule type="expression" dxfId="907" priority="298">
      <formula>#REF!=4</formula>
    </cfRule>
  </conditionalFormatting>
  <conditionalFormatting sqref="B9 D9:E9 B18 B27 B36">
    <cfRule type="expression" dxfId="906" priority="297">
      <formula>#REF!=5</formula>
    </cfRule>
  </conditionalFormatting>
  <conditionalFormatting sqref="B10:E10 B19 B28 B37">
    <cfRule type="expression" dxfId="905" priority="296">
      <formula>#REF!=6</formula>
    </cfRule>
  </conditionalFormatting>
  <conditionalFormatting sqref="D4 D13 D22 D31">
    <cfRule type="expression" dxfId="904" priority="295">
      <formula>#REF!&gt;0</formula>
    </cfRule>
  </conditionalFormatting>
  <conditionalFormatting sqref="E4 E13 E22 E31">
    <cfRule type="expression" dxfId="903" priority="294">
      <formula>#REF!&gt;0</formula>
    </cfRule>
  </conditionalFormatting>
  <conditionalFormatting sqref="F5:H5 H6:H8">
    <cfRule type="expression" dxfId="902" priority="293">
      <formula>#REF!=1</formula>
    </cfRule>
  </conditionalFormatting>
  <conditionalFormatting sqref="F6:G6">
    <cfRule type="expression" dxfId="901" priority="292">
      <formula>#REF!=2</formula>
    </cfRule>
  </conditionalFormatting>
  <conditionalFormatting sqref="F7:G7">
    <cfRule type="expression" dxfId="900" priority="291">
      <formula>#REF!=3</formula>
    </cfRule>
  </conditionalFormatting>
  <conditionalFormatting sqref="F8:G8">
    <cfRule type="expression" dxfId="899" priority="290">
      <formula>#REF!=4</formula>
    </cfRule>
  </conditionalFormatting>
  <conditionalFormatting sqref="F9:H9">
    <cfRule type="expression" dxfId="898" priority="289">
      <formula>#REF!=5</formula>
    </cfRule>
  </conditionalFormatting>
  <conditionalFormatting sqref="F10:G10">
    <cfRule type="expression" dxfId="897" priority="288">
      <formula>#REF!=6</formula>
    </cfRule>
  </conditionalFormatting>
  <conditionalFormatting sqref="G4 G13 G22 G31">
    <cfRule type="expression" dxfId="896" priority="287">
      <formula>#REF!&gt;0</formula>
    </cfRule>
  </conditionalFormatting>
  <conditionalFormatting sqref="H4 H13 H22 H31">
    <cfRule type="expression" dxfId="895" priority="286">
      <formula>#REF!&gt;0</formula>
    </cfRule>
  </conditionalFormatting>
  <conditionalFormatting sqref="H10">
    <cfRule type="expression" dxfId="894" priority="285">
      <formula>#REF!=6</formula>
    </cfRule>
  </conditionalFormatting>
  <conditionalFormatting sqref="M4">
    <cfRule type="expression" dxfId="893" priority="275">
      <formula>AND($F$29=$G$26,$K$26&gt;=130)</formula>
    </cfRule>
  </conditionalFormatting>
  <conditionalFormatting sqref="N4">
    <cfRule type="expression" dxfId="892" priority="274">
      <formula>AND($G$29=$G$26,$K$26&gt;=130)</formula>
    </cfRule>
  </conditionalFormatting>
  <conditionalFormatting sqref="O4">
    <cfRule type="expression" dxfId="891" priority="273">
      <formula>AND($H$29=$G$26,$K$26&gt;=130)</formula>
    </cfRule>
  </conditionalFormatting>
  <conditionalFormatting sqref="M13">
    <cfRule type="expression" dxfId="890" priority="251">
      <formula>AND($F$29=$G$26,$K$26&gt;=130)</formula>
    </cfRule>
  </conditionalFormatting>
  <conditionalFormatting sqref="N13">
    <cfRule type="expression" dxfId="889" priority="250">
      <formula>AND($G$29=$G$26,$K$26&gt;=130)</formula>
    </cfRule>
  </conditionalFormatting>
  <conditionalFormatting sqref="O13">
    <cfRule type="expression" dxfId="888" priority="249">
      <formula>AND($H$29=$G$26,$K$26&gt;=130)</formula>
    </cfRule>
  </conditionalFormatting>
  <conditionalFormatting sqref="M22">
    <cfRule type="expression" dxfId="887" priority="245">
      <formula>AND($F$29=$G$26,$K$26&gt;=130)</formula>
    </cfRule>
  </conditionalFormatting>
  <conditionalFormatting sqref="N22">
    <cfRule type="expression" dxfId="886" priority="244">
      <formula>AND($G$29=$G$26,$K$26&gt;=130)</formula>
    </cfRule>
  </conditionalFormatting>
  <conditionalFormatting sqref="O22">
    <cfRule type="expression" dxfId="885" priority="243">
      <formula>AND($H$29=$G$26,$K$26&gt;=130)</formula>
    </cfRule>
  </conditionalFormatting>
  <conditionalFormatting sqref="M31">
    <cfRule type="expression" dxfId="884" priority="239">
      <formula>AND($F$29=$G$26,$K$26&gt;=130)</formula>
    </cfRule>
  </conditionalFormatting>
  <conditionalFormatting sqref="N31">
    <cfRule type="expression" dxfId="883" priority="238">
      <formula>AND($G$29=$G$26,$K$26&gt;=130)</formula>
    </cfRule>
  </conditionalFormatting>
  <conditionalFormatting sqref="O31">
    <cfRule type="expression" dxfId="882" priority="237">
      <formula>AND($H$29=$G$26,$K$26&gt;=130)</formula>
    </cfRule>
  </conditionalFormatting>
  <conditionalFormatting sqref="S4">
    <cfRule type="expression" dxfId="881" priority="226">
      <formula>$J$45&gt;0</formula>
    </cfRule>
  </conditionalFormatting>
  <conditionalFormatting sqref="R4">
    <cfRule type="expression" dxfId="880" priority="225">
      <formula>$J$42&gt;0</formula>
    </cfRule>
  </conditionalFormatting>
  <conditionalFormatting sqref="T32:T37 V32:V37">
    <cfRule type="expression" dxfId="879" priority="113">
      <formula>$C$58=1</formula>
    </cfRule>
  </conditionalFormatting>
  <conditionalFormatting sqref="S13">
    <cfRule type="expression" dxfId="878" priority="176">
      <formula>$J$45&gt;0</formula>
    </cfRule>
  </conditionalFormatting>
  <conditionalFormatting sqref="R13">
    <cfRule type="expression" dxfId="877" priority="175">
      <formula>$J$42&gt;0</formula>
    </cfRule>
  </conditionalFormatting>
  <conditionalFormatting sqref="S22">
    <cfRule type="expression" dxfId="876" priority="174">
      <formula>$J$45&gt;0</formula>
    </cfRule>
  </conditionalFormatting>
  <conditionalFormatting sqref="R22">
    <cfRule type="expression" dxfId="875" priority="173">
      <formula>$J$42&gt;0</formula>
    </cfRule>
  </conditionalFormatting>
  <conditionalFormatting sqref="S31">
    <cfRule type="expression" dxfId="874" priority="172">
      <formula>$J$45&gt;0</formula>
    </cfRule>
  </conditionalFormatting>
  <conditionalFormatting sqref="R31">
    <cfRule type="expression" dxfId="873" priority="171">
      <formula>$J$42&gt;0</formula>
    </cfRule>
  </conditionalFormatting>
  <conditionalFormatting sqref="C14:E14 C15:C18 E15:E17">
    <cfRule type="expression" dxfId="872" priority="158">
      <formula>#REF!=1</formula>
    </cfRule>
  </conditionalFormatting>
  <conditionalFormatting sqref="D15">
    <cfRule type="expression" dxfId="871" priority="157">
      <formula>#REF!=2</formula>
    </cfRule>
  </conditionalFormatting>
  <conditionalFormatting sqref="D16">
    <cfRule type="expression" dxfId="870" priority="156">
      <formula>#REF!=3</formula>
    </cfRule>
  </conditionalFormatting>
  <conditionalFormatting sqref="D17">
    <cfRule type="expression" dxfId="869" priority="155">
      <formula>#REF!=4</formula>
    </cfRule>
  </conditionalFormatting>
  <conditionalFormatting sqref="D18:E18">
    <cfRule type="expression" dxfId="868" priority="154">
      <formula>#REF!=5</formula>
    </cfRule>
  </conditionalFormatting>
  <conditionalFormatting sqref="C19:E19">
    <cfRule type="expression" dxfId="867" priority="153">
      <formula>#REF!=6</formula>
    </cfRule>
  </conditionalFormatting>
  <conditionalFormatting sqref="F14:H14 H15:H17">
    <cfRule type="expression" dxfId="866" priority="152">
      <formula>#REF!=1</formula>
    </cfRule>
  </conditionalFormatting>
  <conditionalFormatting sqref="F15:G15">
    <cfRule type="expression" dxfId="865" priority="151">
      <formula>#REF!=2</formula>
    </cfRule>
  </conditionalFormatting>
  <conditionalFormatting sqref="F16:G16">
    <cfRule type="expression" dxfId="864" priority="150">
      <formula>#REF!=3</formula>
    </cfRule>
  </conditionalFormatting>
  <conditionalFormatting sqref="F17:G17">
    <cfRule type="expression" dxfId="863" priority="149">
      <formula>#REF!=4</formula>
    </cfRule>
  </conditionalFormatting>
  <conditionalFormatting sqref="F18:H18">
    <cfRule type="expression" dxfId="862" priority="148">
      <formula>#REF!=5</formula>
    </cfRule>
  </conditionalFormatting>
  <conditionalFormatting sqref="F19:G19">
    <cfRule type="expression" dxfId="861" priority="147">
      <formula>#REF!=6</formula>
    </cfRule>
  </conditionalFormatting>
  <conditionalFormatting sqref="H19">
    <cfRule type="expression" dxfId="860" priority="146">
      <formula>#REF!=6</formula>
    </cfRule>
  </conditionalFormatting>
  <conditionalFormatting sqref="C23:E23 C24:C27 E24:E26">
    <cfRule type="expression" dxfId="859" priority="145">
      <formula>#REF!=1</formula>
    </cfRule>
  </conditionalFormatting>
  <conditionalFormatting sqref="D24">
    <cfRule type="expression" dxfId="858" priority="144">
      <formula>#REF!=2</formula>
    </cfRule>
  </conditionalFormatting>
  <conditionalFormatting sqref="D25">
    <cfRule type="expression" dxfId="857" priority="143">
      <formula>#REF!=3</formula>
    </cfRule>
  </conditionalFormatting>
  <conditionalFormatting sqref="D26">
    <cfRule type="expression" dxfId="856" priority="142">
      <formula>#REF!=4</formula>
    </cfRule>
  </conditionalFormatting>
  <conditionalFormatting sqref="D27:E27">
    <cfRule type="expression" dxfId="855" priority="141">
      <formula>#REF!=5</formula>
    </cfRule>
  </conditionalFormatting>
  <conditionalFormatting sqref="C28:E28">
    <cfRule type="expression" dxfId="854" priority="140">
      <formula>#REF!=6</formula>
    </cfRule>
  </conditionalFormatting>
  <conditionalFormatting sqref="F23:H23 H24:H26">
    <cfRule type="expression" dxfId="853" priority="139">
      <formula>#REF!=1</formula>
    </cfRule>
  </conditionalFormatting>
  <conditionalFormatting sqref="F24:G24">
    <cfRule type="expression" dxfId="852" priority="138">
      <formula>#REF!=2</formula>
    </cfRule>
  </conditionalFormatting>
  <conditionalFormatting sqref="F25:G25">
    <cfRule type="expression" dxfId="851" priority="137">
      <formula>#REF!=3</formula>
    </cfRule>
  </conditionalFormatting>
  <conditionalFormatting sqref="F26:G26">
    <cfRule type="expression" dxfId="850" priority="136">
      <formula>#REF!=4</formula>
    </cfRule>
  </conditionalFormatting>
  <conditionalFormatting sqref="F27:H27">
    <cfRule type="expression" dxfId="849" priority="135">
      <formula>#REF!=5</formula>
    </cfRule>
  </conditionalFormatting>
  <conditionalFormatting sqref="F28:G28">
    <cfRule type="expression" dxfId="848" priority="134">
      <formula>#REF!=6</formula>
    </cfRule>
  </conditionalFormatting>
  <conditionalFormatting sqref="H28">
    <cfRule type="expression" dxfId="847" priority="133">
      <formula>#REF!=6</formula>
    </cfRule>
  </conditionalFormatting>
  <conditionalFormatting sqref="C32:E32 C33:C36 E33:E35">
    <cfRule type="expression" dxfId="846" priority="132">
      <formula>#REF!=1</formula>
    </cfRule>
  </conditionalFormatting>
  <conditionalFormatting sqref="D33">
    <cfRule type="expression" dxfId="845" priority="131">
      <formula>#REF!=2</formula>
    </cfRule>
  </conditionalFormatting>
  <conditionalFormatting sqref="D34">
    <cfRule type="expression" dxfId="844" priority="130">
      <formula>#REF!=3</formula>
    </cfRule>
  </conditionalFormatting>
  <conditionalFormatting sqref="D35">
    <cfRule type="expression" dxfId="843" priority="129">
      <formula>#REF!=4</formula>
    </cfRule>
  </conditionalFormatting>
  <conditionalFormatting sqref="D36:E36">
    <cfRule type="expression" dxfId="842" priority="128">
      <formula>#REF!=5</formula>
    </cfRule>
  </conditionalFormatting>
  <conditionalFormatting sqref="C37:E37">
    <cfRule type="expression" dxfId="841" priority="127">
      <formula>#REF!=6</formula>
    </cfRule>
  </conditionalFormatting>
  <conditionalFormatting sqref="F32:H32 H33:H35">
    <cfRule type="expression" dxfId="840" priority="126">
      <formula>#REF!=1</formula>
    </cfRule>
  </conditionalFormatting>
  <conditionalFormatting sqref="F33:G33">
    <cfRule type="expression" dxfId="839" priority="125">
      <formula>#REF!=2</formula>
    </cfRule>
  </conditionalFormatting>
  <conditionalFormatting sqref="F34:G34">
    <cfRule type="expression" dxfId="838" priority="124">
      <formula>#REF!=3</formula>
    </cfRule>
  </conditionalFormatting>
  <conditionalFormatting sqref="F35:G35">
    <cfRule type="expression" dxfId="837" priority="123">
      <formula>#REF!=4</formula>
    </cfRule>
  </conditionalFormatting>
  <conditionalFormatting sqref="F36:H36">
    <cfRule type="expression" dxfId="836" priority="122">
      <formula>#REF!=5</formula>
    </cfRule>
  </conditionalFormatting>
  <conditionalFormatting sqref="F37:G37">
    <cfRule type="expression" dxfId="835" priority="121">
      <formula>#REF!=6</formula>
    </cfRule>
  </conditionalFormatting>
  <conditionalFormatting sqref="H37">
    <cfRule type="expression" dxfId="834" priority="120">
      <formula>#REF!=6</formula>
    </cfRule>
  </conditionalFormatting>
  <conditionalFormatting sqref="T5:T10 V5:V10">
    <cfRule type="expression" dxfId="833" priority="116">
      <formula>$C$58=1</formula>
    </cfRule>
  </conditionalFormatting>
  <conditionalFormatting sqref="T14:T19 V14:V19">
    <cfRule type="expression" dxfId="832" priority="115">
      <formula>$C$58=1</formula>
    </cfRule>
  </conditionalFormatting>
  <conditionalFormatting sqref="T23:T28 V23:V28">
    <cfRule type="expression" dxfId="831" priority="114">
      <formula>$C$58=1</formula>
    </cfRule>
  </conditionalFormatting>
  <conditionalFormatting sqref="K5:N5 L6:L9">
    <cfRule type="expression" dxfId="830" priority="112">
      <formula>$C$26=1</formula>
    </cfRule>
  </conditionalFormatting>
  <conditionalFormatting sqref="K7">
    <cfRule type="expression" dxfId="829" priority="111">
      <formula>$C$26=3</formula>
    </cfRule>
  </conditionalFormatting>
  <conditionalFormatting sqref="K9 N9">
    <cfRule type="expression" dxfId="828" priority="110">
      <formula>$C$26=5</formula>
    </cfRule>
  </conditionalFormatting>
  <conditionalFormatting sqref="M10 K10">
    <cfRule type="expression" dxfId="827" priority="109">
      <formula>$C$26=6</formula>
    </cfRule>
  </conditionalFormatting>
  <conditionalFormatting sqref="K6">
    <cfRule type="expression" dxfId="826" priority="108">
      <formula>$C$26=2</formula>
    </cfRule>
  </conditionalFormatting>
  <conditionalFormatting sqref="K8">
    <cfRule type="expression" dxfId="825" priority="107">
      <formula>$C$26=4</formula>
    </cfRule>
  </conditionalFormatting>
  <conditionalFormatting sqref="M6">
    <cfRule type="expression" dxfId="824" priority="106">
      <formula>$C$26=1</formula>
    </cfRule>
  </conditionalFormatting>
  <conditionalFormatting sqref="M7">
    <cfRule type="expression" dxfId="823" priority="105">
      <formula>$C$26=1</formula>
    </cfRule>
  </conditionalFormatting>
  <conditionalFormatting sqref="M8">
    <cfRule type="expression" dxfId="822" priority="104">
      <formula>$C$26=1</formula>
    </cfRule>
  </conditionalFormatting>
  <conditionalFormatting sqref="N6">
    <cfRule type="expression" dxfId="821" priority="103">
      <formula>$C$26=1</formula>
    </cfRule>
  </conditionalFormatting>
  <conditionalFormatting sqref="N7">
    <cfRule type="expression" dxfId="820" priority="102">
      <formula>$C$26=1</formula>
    </cfRule>
  </conditionalFormatting>
  <conditionalFormatting sqref="N8">
    <cfRule type="expression" dxfId="819" priority="101">
      <formula>$C$26=1</formula>
    </cfRule>
  </conditionalFormatting>
  <conditionalFormatting sqref="K14:N14 L15:L18">
    <cfRule type="expression" dxfId="818" priority="100">
      <formula>$C$26=1</formula>
    </cfRule>
  </conditionalFormatting>
  <conditionalFormatting sqref="K16 N16">
    <cfRule type="expression" dxfId="817" priority="99">
      <formula>$C$26=3</formula>
    </cfRule>
  </conditionalFormatting>
  <conditionalFormatting sqref="K18 M18:N18">
    <cfRule type="expression" dxfId="816" priority="98">
      <formula>$C$26=5</formula>
    </cfRule>
  </conditionalFormatting>
  <conditionalFormatting sqref="M19 K19">
    <cfRule type="expression" dxfId="815" priority="97">
      <formula>$C$26=6</formula>
    </cfRule>
  </conditionalFormatting>
  <conditionalFormatting sqref="K15 N15">
    <cfRule type="expression" dxfId="814" priority="96">
      <formula>$C$26=2</formula>
    </cfRule>
  </conditionalFormatting>
  <conditionalFormatting sqref="K17 N17">
    <cfRule type="expression" dxfId="813" priority="95">
      <formula>$C$26=4</formula>
    </cfRule>
  </conditionalFormatting>
  <conditionalFormatting sqref="M15">
    <cfRule type="expression" dxfId="812" priority="94">
      <formula>$C$26=1</formula>
    </cfRule>
  </conditionalFormatting>
  <conditionalFormatting sqref="M16">
    <cfRule type="expression" dxfId="811" priority="93">
      <formula>$C$26=1</formula>
    </cfRule>
  </conditionalFormatting>
  <conditionalFormatting sqref="M17">
    <cfRule type="expression" dxfId="810" priority="92">
      <formula>$C$26=1</formula>
    </cfRule>
  </conditionalFormatting>
  <conditionalFormatting sqref="K23">
    <cfRule type="expression" dxfId="809" priority="91">
      <formula>$C$26=1</formula>
    </cfRule>
  </conditionalFormatting>
  <conditionalFormatting sqref="K25">
    <cfRule type="expression" dxfId="808" priority="90">
      <formula>$C$26=3</formula>
    </cfRule>
  </conditionalFormatting>
  <conditionalFormatting sqref="K27">
    <cfRule type="expression" dxfId="807" priority="89">
      <formula>$C$26=5</formula>
    </cfRule>
  </conditionalFormatting>
  <conditionalFormatting sqref="K28">
    <cfRule type="expression" dxfId="806" priority="88">
      <formula>$C$26=6</formula>
    </cfRule>
  </conditionalFormatting>
  <conditionalFormatting sqref="K24">
    <cfRule type="expression" dxfId="805" priority="87">
      <formula>$C$26=2</formula>
    </cfRule>
  </conditionalFormatting>
  <conditionalFormatting sqref="K26">
    <cfRule type="expression" dxfId="804" priority="86">
      <formula>$C$26=4</formula>
    </cfRule>
  </conditionalFormatting>
  <conditionalFormatting sqref="L23:N23 L24:L27">
    <cfRule type="expression" dxfId="803" priority="85">
      <formula>$C$26=1</formula>
    </cfRule>
  </conditionalFormatting>
  <conditionalFormatting sqref="M27:N27">
    <cfRule type="expression" dxfId="802" priority="84">
      <formula>$C$26=5</formula>
    </cfRule>
  </conditionalFormatting>
  <conditionalFormatting sqref="M28">
    <cfRule type="expression" dxfId="801" priority="83">
      <formula>$C$26=6</formula>
    </cfRule>
  </conditionalFormatting>
  <conditionalFormatting sqref="N24:N26">
    <cfRule type="expression" dxfId="800" priority="82">
      <formula>$C$26=2</formula>
    </cfRule>
  </conditionalFormatting>
  <conditionalFormatting sqref="M24">
    <cfRule type="expression" dxfId="799" priority="81">
      <formula>$C$26=1</formula>
    </cfRule>
  </conditionalFormatting>
  <conditionalFormatting sqref="M25">
    <cfRule type="expression" dxfId="798" priority="80">
      <formula>$C$26=1</formula>
    </cfRule>
  </conditionalFormatting>
  <conditionalFormatting sqref="M26">
    <cfRule type="expression" dxfId="797" priority="79">
      <formula>$C$26=1</formula>
    </cfRule>
  </conditionalFormatting>
  <conditionalFormatting sqref="P5:S9">
    <cfRule type="expression" dxfId="796" priority="77">
      <formula>$C$42=1</formula>
    </cfRule>
  </conditionalFormatting>
  <conditionalFormatting sqref="S10">
    <cfRule type="expression" dxfId="795" priority="76">
      <formula>$C$26=5</formula>
    </cfRule>
  </conditionalFormatting>
  <conditionalFormatting sqref="R10:S10 P10">
    <cfRule type="expression" dxfId="794" priority="75">
      <formula>$C$42=6</formula>
    </cfRule>
  </conditionalFormatting>
  <conditionalFormatting sqref="P14:S18">
    <cfRule type="expression" dxfId="793" priority="74">
      <formula>$C$42=1</formula>
    </cfRule>
  </conditionalFormatting>
  <conditionalFormatting sqref="S19">
    <cfRule type="expression" dxfId="792" priority="73">
      <formula>$C$26=5</formula>
    </cfRule>
  </conditionalFormatting>
  <conditionalFormatting sqref="R19:S19 P19">
    <cfRule type="expression" dxfId="791" priority="72">
      <formula>$C$42=6</formula>
    </cfRule>
  </conditionalFormatting>
  <conditionalFormatting sqref="P23:Q23">
    <cfRule type="expression" dxfId="790" priority="71">
      <formula>$C$42=1</formula>
    </cfRule>
  </conditionalFormatting>
  <conditionalFormatting sqref="P24:Q24">
    <cfRule type="expression" dxfId="789" priority="70">
      <formula>$C$42=2</formula>
    </cfRule>
  </conditionalFormatting>
  <conditionalFormatting sqref="P25:Q25">
    <cfRule type="expression" dxfId="788" priority="69">
      <formula>$C$42=3</formula>
    </cfRule>
  </conditionalFormatting>
  <conditionalFormatting sqref="P26:Q26">
    <cfRule type="expression" dxfId="787" priority="68">
      <formula>$C$42=4</formula>
    </cfRule>
  </conditionalFormatting>
  <conditionalFormatting sqref="P27:Q27">
    <cfRule type="expression" dxfId="786" priority="67">
      <formula>$C$42=5</formula>
    </cfRule>
  </conditionalFormatting>
  <conditionalFormatting sqref="P28">
    <cfRule type="expression" dxfId="785" priority="66">
      <formula>$C$42=6</formula>
    </cfRule>
  </conditionalFormatting>
  <conditionalFormatting sqref="R23">
    <cfRule type="expression" dxfId="784" priority="65">
      <formula>$C$42=1</formula>
    </cfRule>
  </conditionalFormatting>
  <conditionalFormatting sqref="R24">
    <cfRule type="expression" dxfId="783" priority="64">
      <formula>$C$42=2</formula>
    </cfRule>
  </conditionalFormatting>
  <conditionalFormatting sqref="R25">
    <cfRule type="expression" dxfId="782" priority="63">
      <formula>$C$42=3</formula>
    </cfRule>
  </conditionalFormatting>
  <conditionalFormatting sqref="R26">
    <cfRule type="expression" dxfId="781" priority="62">
      <formula>$C$42=4</formula>
    </cfRule>
  </conditionalFormatting>
  <conditionalFormatting sqref="R27">
    <cfRule type="expression" dxfId="780" priority="61">
      <formula>$C$42=5</formula>
    </cfRule>
  </conditionalFormatting>
  <conditionalFormatting sqref="R28">
    <cfRule type="expression" dxfId="779" priority="60">
      <formula>$C$42=6</formula>
    </cfRule>
  </conditionalFormatting>
  <conditionalFormatting sqref="S23">
    <cfRule type="expression" dxfId="778" priority="59">
      <formula>$C$42=1</formula>
    </cfRule>
  </conditionalFormatting>
  <conditionalFormatting sqref="S25">
    <cfRule type="expression" dxfId="777" priority="58">
      <formula>$C$42=3</formula>
    </cfRule>
  </conditionalFormatting>
  <conditionalFormatting sqref="S27">
    <cfRule type="expression" dxfId="776" priority="57">
      <formula>$C$42=5</formula>
    </cfRule>
  </conditionalFormatting>
  <conditionalFormatting sqref="S24">
    <cfRule type="expression" dxfId="775" priority="56">
      <formula>$C$42=2</formula>
    </cfRule>
  </conditionalFormatting>
  <conditionalFormatting sqref="S27:S28">
    <cfRule type="expression" dxfId="774" priority="55">
      <formula>$C$26=5</formula>
    </cfRule>
  </conditionalFormatting>
  <conditionalFormatting sqref="S26">
    <cfRule type="expression" dxfId="773" priority="54">
      <formula>$C$42=4</formula>
    </cfRule>
  </conditionalFormatting>
  <conditionalFormatting sqref="S28">
    <cfRule type="expression" dxfId="772" priority="53">
      <formula>$C$42=6</formula>
    </cfRule>
  </conditionalFormatting>
  <conditionalFormatting sqref="P32:S32">
    <cfRule type="expression" dxfId="771" priority="52">
      <formula>$C$42=1</formula>
    </cfRule>
  </conditionalFormatting>
  <conditionalFormatting sqref="P34:S35">
    <cfRule type="expression" dxfId="770" priority="51">
      <formula>$C$42=3</formula>
    </cfRule>
  </conditionalFormatting>
  <conditionalFormatting sqref="P36:S36">
    <cfRule type="expression" dxfId="769" priority="50">
      <formula>$C$42=5</formula>
    </cfRule>
  </conditionalFormatting>
  <conditionalFormatting sqref="P33:S33">
    <cfRule type="expression" dxfId="768" priority="49">
      <formula>$C$42=2</formula>
    </cfRule>
  </conditionalFormatting>
  <conditionalFormatting sqref="S36:S37">
    <cfRule type="expression" dxfId="767" priority="48">
      <formula>$C$26=5</formula>
    </cfRule>
  </conditionalFormatting>
  <conditionalFormatting sqref="R37:S37 P37">
    <cfRule type="expression" dxfId="766" priority="47">
      <formula>$C$42=6</formula>
    </cfRule>
  </conditionalFormatting>
  <conditionalFormatting sqref="M37 K37">
    <cfRule type="expression" dxfId="765" priority="46">
      <formula>$C$26=6</formula>
    </cfRule>
  </conditionalFormatting>
  <conditionalFormatting sqref="B41">
    <cfRule type="expression" dxfId="764" priority="45">
      <formula>#REF!=1</formula>
    </cfRule>
  </conditionalFormatting>
  <conditionalFormatting sqref="B42">
    <cfRule type="expression" dxfId="763" priority="44">
      <formula>#REF!=2</formula>
    </cfRule>
  </conditionalFormatting>
  <conditionalFormatting sqref="B43">
    <cfRule type="expression" dxfId="762" priority="43">
      <formula>#REF!=3</formula>
    </cfRule>
  </conditionalFormatting>
  <conditionalFormatting sqref="B44">
    <cfRule type="expression" dxfId="761" priority="42">
      <formula>#REF!=4</formula>
    </cfRule>
  </conditionalFormatting>
  <conditionalFormatting sqref="B45">
    <cfRule type="expression" dxfId="760" priority="41">
      <formula>#REF!=5</formula>
    </cfRule>
  </conditionalFormatting>
  <conditionalFormatting sqref="B46">
    <cfRule type="expression" dxfId="759" priority="40">
      <formula>#REF!=6</formula>
    </cfRule>
  </conditionalFormatting>
  <conditionalFormatting sqref="D40">
    <cfRule type="expression" dxfId="758" priority="39">
      <formula>#REF!&gt;0</formula>
    </cfRule>
  </conditionalFormatting>
  <conditionalFormatting sqref="E40">
    <cfRule type="expression" dxfId="757" priority="38">
      <formula>#REF!&gt;0</formula>
    </cfRule>
  </conditionalFormatting>
  <conditionalFormatting sqref="G40">
    <cfRule type="expression" dxfId="756" priority="37">
      <formula>#REF!&gt;0</formula>
    </cfRule>
  </conditionalFormatting>
  <conditionalFormatting sqref="H40">
    <cfRule type="expression" dxfId="755" priority="36">
      <formula>#REF!&gt;0</formula>
    </cfRule>
  </conditionalFormatting>
  <conditionalFormatting sqref="M40">
    <cfRule type="expression" dxfId="754" priority="35">
      <formula>AND($F$29=$G$26,$K$26&gt;=130)</formula>
    </cfRule>
  </conditionalFormatting>
  <conditionalFormatting sqref="N40">
    <cfRule type="expression" dxfId="753" priority="34">
      <formula>AND($G$29=$G$26,$K$26&gt;=130)</formula>
    </cfRule>
  </conditionalFormatting>
  <conditionalFormatting sqref="O40">
    <cfRule type="expression" dxfId="752" priority="33">
      <formula>AND($H$29=$G$26,$K$26&gt;=130)</formula>
    </cfRule>
  </conditionalFormatting>
  <conditionalFormatting sqref="S40">
    <cfRule type="expression" dxfId="751" priority="32">
      <formula>$J$45&gt;0</formula>
    </cfRule>
  </conditionalFormatting>
  <conditionalFormatting sqref="R40">
    <cfRule type="expression" dxfId="750" priority="31">
      <formula>$J$42&gt;0</formula>
    </cfRule>
  </conditionalFormatting>
  <conditionalFormatting sqref="C41:E41 C42:C45 E42:E44">
    <cfRule type="expression" dxfId="749" priority="30">
      <formula>#REF!=1</formula>
    </cfRule>
  </conditionalFormatting>
  <conditionalFormatting sqref="D42">
    <cfRule type="expression" dxfId="748" priority="29">
      <formula>#REF!=2</formula>
    </cfRule>
  </conditionalFormatting>
  <conditionalFormatting sqref="D43">
    <cfRule type="expression" dxfId="747" priority="28">
      <formula>#REF!=3</formula>
    </cfRule>
  </conditionalFormatting>
  <conditionalFormatting sqref="D44">
    <cfRule type="expression" dxfId="746" priority="27">
      <formula>#REF!=4</formula>
    </cfRule>
  </conditionalFormatting>
  <conditionalFormatting sqref="D45:E45">
    <cfRule type="expression" dxfId="745" priority="26">
      <formula>#REF!=5</formula>
    </cfRule>
  </conditionalFormatting>
  <conditionalFormatting sqref="C46:D46">
    <cfRule type="expression" dxfId="744" priority="25">
      <formula>#REF!=6</formula>
    </cfRule>
  </conditionalFormatting>
  <conditionalFormatting sqref="F41:H41 H42:H44">
    <cfRule type="expression" dxfId="743" priority="24">
      <formula>#REF!=1</formula>
    </cfRule>
  </conditionalFormatting>
  <conditionalFormatting sqref="F42:G42">
    <cfRule type="expression" dxfId="742" priority="23">
      <formula>#REF!=2</formula>
    </cfRule>
  </conditionalFormatting>
  <conditionalFormatting sqref="F43:G43">
    <cfRule type="expression" dxfId="741" priority="22">
      <formula>#REF!=3</formula>
    </cfRule>
  </conditionalFormatting>
  <conditionalFormatting sqref="F44:G44">
    <cfRule type="expression" dxfId="740" priority="21">
      <formula>#REF!=4</formula>
    </cfRule>
  </conditionalFormatting>
  <conditionalFormatting sqref="F45:H45">
    <cfRule type="expression" dxfId="739" priority="20">
      <formula>#REF!=5</formula>
    </cfRule>
  </conditionalFormatting>
  <conditionalFormatting sqref="F46:G46">
    <cfRule type="expression" dxfId="738" priority="19">
      <formula>#REF!=6</formula>
    </cfRule>
  </conditionalFormatting>
  <conditionalFormatting sqref="H46">
    <cfRule type="expression" dxfId="737" priority="18">
      <formula>#REF!=6</formula>
    </cfRule>
  </conditionalFormatting>
  <conditionalFormatting sqref="E46">
    <cfRule type="expression" dxfId="736" priority="17">
      <formula>#REF!=6</formula>
    </cfRule>
  </conditionalFormatting>
  <conditionalFormatting sqref="V46 T41 T46">
    <cfRule type="expression" dxfId="735" priority="10">
      <formula>$C$58=1</formula>
    </cfRule>
  </conditionalFormatting>
  <conditionalFormatting sqref="V45">
    <cfRule type="expression" dxfId="734" priority="9">
      <formula>$C$58=1</formula>
    </cfRule>
  </conditionalFormatting>
  <conditionalFormatting sqref="T42:T45">
    <cfRule type="expression" dxfId="733" priority="8">
      <formula>$C$58=1</formula>
    </cfRule>
  </conditionalFormatting>
  <conditionalFormatting sqref="V41:V44">
    <cfRule type="expression" dxfId="732" priority="7">
      <formula>$C$58=1</formula>
    </cfRule>
  </conditionalFormatting>
  <conditionalFormatting sqref="M46 K46">
    <cfRule type="expression" dxfId="731" priority="6">
      <formula>$C$26=6</formula>
    </cfRule>
  </conditionalFormatting>
  <conditionalFormatting sqref="P41:Q41">
    <cfRule type="expression" dxfId="730" priority="5">
      <formula>$C$42=1</formula>
    </cfRule>
  </conditionalFormatting>
  <conditionalFormatting sqref="P43:Q44">
    <cfRule type="expression" dxfId="729" priority="4">
      <formula>$C$42=3</formula>
    </cfRule>
  </conditionalFormatting>
  <conditionalFormatting sqref="P45:Q45">
    <cfRule type="expression" dxfId="728" priority="3">
      <formula>$C$42=5</formula>
    </cfRule>
  </conditionalFormatting>
  <conditionalFormatting sqref="P42:Q42">
    <cfRule type="expression" dxfId="727" priority="2">
      <formula>$C$42=2</formula>
    </cfRule>
  </conditionalFormatting>
  <conditionalFormatting sqref="P46">
    <cfRule type="expression" dxfId="726" priority="1">
      <formula>$C$42=6</formula>
    </cfRule>
  </conditionalFormatting>
  <hyperlinks>
    <hyperlink ref="A50" r:id="rId1" xr:uid="{00000000-0004-0000-0600-000000000000}"/>
    <hyperlink ref="AD3" r:id="rId2" xr:uid="{00000000-0004-0000-0600-000001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D49"/>
  <sheetViews>
    <sheetView topLeftCell="G34" workbookViewId="0">
      <selection activeCell="S46" sqref="P41:S47"/>
    </sheetView>
  </sheetViews>
  <sheetFormatPr baseColWidth="10" defaultRowHeight="15" x14ac:dyDescent="0.25"/>
  <cols>
    <col min="2" max="2" width="18.42578125" customWidth="1"/>
  </cols>
  <sheetData>
    <row r="1" spans="1:30" ht="26.25" thickBot="1" x14ac:dyDescent="0.3">
      <c r="A1" s="511" t="s">
        <v>113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180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124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188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3321.4</v>
      </c>
      <c r="D5" s="39">
        <v>644.91</v>
      </c>
      <c r="E5" s="1">
        <v>1612.27</v>
      </c>
      <c r="F5" s="1">
        <v>1337.28</v>
      </c>
      <c r="G5" s="1">
        <v>510.71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199">
        <v>4.2000000000000003E-2</v>
      </c>
      <c r="U5" s="200"/>
      <c r="V5" s="199" t="s">
        <v>122</v>
      </c>
      <c r="W5" s="200"/>
      <c r="X5" s="22">
        <v>-0.1585</v>
      </c>
      <c r="Y5" s="341">
        <v>3336</v>
      </c>
      <c r="Z5" s="341"/>
      <c r="AA5" s="341">
        <v>109250</v>
      </c>
      <c r="AB5" s="341"/>
    </row>
    <row r="6" spans="1:30" ht="15.75" thickBot="1" x14ac:dyDescent="0.3">
      <c r="A6" s="491"/>
      <c r="B6" s="14" t="s">
        <v>21</v>
      </c>
      <c r="C6" s="39">
        <v>4982.09</v>
      </c>
      <c r="D6" s="39">
        <v>967.36</v>
      </c>
      <c r="E6" s="1">
        <v>1612.27</v>
      </c>
      <c r="F6" s="1">
        <v>2674.55</v>
      </c>
      <c r="G6" s="1">
        <v>1021.42</v>
      </c>
      <c r="H6" s="199">
        <v>1703.36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199">
        <v>6.0999999999999999E-2</v>
      </c>
      <c r="U6" s="200"/>
      <c r="V6" s="199" t="s">
        <v>122</v>
      </c>
      <c r="W6" s="200"/>
      <c r="X6" s="22">
        <v>-0.1268</v>
      </c>
      <c r="Y6" s="341">
        <v>1513</v>
      </c>
      <c r="Z6" s="341"/>
      <c r="AA6" s="341">
        <v>26669</v>
      </c>
      <c r="AB6" s="341"/>
    </row>
    <row r="7" spans="1:30" ht="15.75" thickBot="1" x14ac:dyDescent="0.3">
      <c r="A7" s="491"/>
      <c r="B7" s="14" t="s">
        <v>24</v>
      </c>
      <c r="C7" s="39">
        <v>8303.49</v>
      </c>
      <c r="D7" s="39">
        <v>1612.27</v>
      </c>
      <c r="E7" s="1">
        <v>1612.27</v>
      </c>
      <c r="F7" s="1">
        <v>4011.83</v>
      </c>
      <c r="G7" s="1">
        <v>1532.12</v>
      </c>
      <c r="H7" s="199">
        <v>1704.36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199">
        <v>9.7000000000000003E-2</v>
      </c>
      <c r="U7" s="200"/>
      <c r="V7" s="199" t="s">
        <v>122</v>
      </c>
      <c r="W7" s="200"/>
      <c r="X7" s="22">
        <v>-4.7500000000000001E-2</v>
      </c>
      <c r="Y7" s="341">
        <v>0</v>
      </c>
      <c r="Z7" s="341"/>
      <c r="AA7" s="341">
        <v>3051</v>
      </c>
      <c r="AB7" s="341"/>
    </row>
    <row r="8" spans="1:30" ht="15.75" thickBot="1" x14ac:dyDescent="0.3">
      <c r="A8" s="491"/>
      <c r="B8" s="14" t="s">
        <v>22</v>
      </c>
      <c r="C8" s="39">
        <v>8303.49</v>
      </c>
      <c r="D8" s="39">
        <v>1612.27</v>
      </c>
      <c r="E8" s="1">
        <v>1612.27</v>
      </c>
      <c r="F8" s="1">
        <v>4457.59</v>
      </c>
      <c r="G8" s="1">
        <v>1702.36</v>
      </c>
      <c r="H8" s="199">
        <v>1705.36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199">
        <v>0.13800000000000001</v>
      </c>
      <c r="U8" s="200"/>
      <c r="V8" s="199" t="s">
        <v>122</v>
      </c>
      <c r="W8" s="200"/>
      <c r="X8" s="22">
        <v>0</v>
      </c>
      <c r="Y8" s="296">
        <v>4849</v>
      </c>
      <c r="Z8" s="297"/>
      <c r="AA8" s="296">
        <v>138971</v>
      </c>
      <c r="AB8" s="297"/>
    </row>
    <row r="9" spans="1:30" ht="15.75" thickBot="1" x14ac:dyDescent="0.3">
      <c r="A9" s="491"/>
      <c r="B9" s="21" t="s">
        <v>23</v>
      </c>
      <c r="C9" s="39">
        <v>14946.28</v>
      </c>
      <c r="D9" s="39">
        <v>2902.09</v>
      </c>
      <c r="E9" s="22">
        <v>2902.09</v>
      </c>
      <c r="F9" s="22">
        <v>8023.66</v>
      </c>
      <c r="G9" s="22">
        <v>3064.25</v>
      </c>
      <c r="H9" s="308">
        <v>3064.25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199">
        <v>0.17799999999999999</v>
      </c>
      <c r="U9" s="200"/>
      <c r="V9" s="199" t="s">
        <v>122</v>
      </c>
      <c r="W9" s="200"/>
      <c r="X9" s="22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14946.28</v>
      </c>
      <c r="D10" s="215">
        <v>2902.09</v>
      </c>
      <c r="E10" s="215">
        <v>2902.09</v>
      </c>
      <c r="F10" s="215">
        <v>8023.66</v>
      </c>
      <c r="G10" s="215">
        <v>3064.25</v>
      </c>
      <c r="H10" s="207">
        <v>3064.25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0.25</v>
      </c>
      <c r="U10" s="297"/>
      <c r="V10" s="296" t="s">
        <v>122</v>
      </c>
      <c r="W10" s="297"/>
      <c r="X10" s="310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311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124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3321.4</v>
      </c>
      <c r="D14" s="39">
        <v>644.91</v>
      </c>
      <c r="E14" s="1">
        <v>1612.27</v>
      </c>
      <c r="F14" s="1">
        <v>1337.28</v>
      </c>
      <c r="G14" s="1">
        <v>510.71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199">
        <v>4.2000000000000003E-2</v>
      </c>
      <c r="U14" s="200"/>
      <c r="V14" s="199" t="s">
        <v>122</v>
      </c>
      <c r="W14" s="200"/>
      <c r="X14" s="22">
        <v>-0.1585</v>
      </c>
      <c r="Y14" s="341">
        <v>3336</v>
      </c>
      <c r="Z14" s="341"/>
      <c r="AA14" s="341">
        <v>109250</v>
      </c>
      <c r="AB14" s="341"/>
    </row>
    <row r="15" spans="1:30" ht="15.75" thickBot="1" x14ac:dyDescent="0.3">
      <c r="A15" s="491"/>
      <c r="B15" s="14" t="s">
        <v>21</v>
      </c>
      <c r="C15" s="39">
        <v>4982.09</v>
      </c>
      <c r="D15" s="39">
        <v>967.36</v>
      </c>
      <c r="E15" s="1">
        <v>1612.27</v>
      </c>
      <c r="F15" s="1">
        <v>2674.55</v>
      </c>
      <c r="G15" s="1">
        <v>1021.42</v>
      </c>
      <c r="H15" s="199">
        <v>1703.36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199">
        <v>6.0999999999999999E-2</v>
      </c>
      <c r="U15" s="200"/>
      <c r="V15" s="199" t="s">
        <v>122</v>
      </c>
      <c r="W15" s="200"/>
      <c r="X15" s="22">
        <v>-0.1268</v>
      </c>
      <c r="Y15" s="341">
        <v>1513</v>
      </c>
      <c r="Z15" s="341"/>
      <c r="AA15" s="341">
        <v>26669</v>
      </c>
      <c r="AB15" s="341"/>
    </row>
    <row r="16" spans="1:30" ht="15.75" thickBot="1" x14ac:dyDescent="0.3">
      <c r="A16" s="491"/>
      <c r="B16" s="14" t="s">
        <v>24</v>
      </c>
      <c r="C16" s="39">
        <v>8303.49</v>
      </c>
      <c r="D16" s="39">
        <v>1612.27</v>
      </c>
      <c r="E16" s="1">
        <v>1612.27</v>
      </c>
      <c r="F16" s="1">
        <v>4011.83</v>
      </c>
      <c r="G16" s="1">
        <v>1532.12</v>
      </c>
      <c r="H16" s="199">
        <v>1704.36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199">
        <v>9.7000000000000003E-2</v>
      </c>
      <c r="U16" s="200"/>
      <c r="V16" s="199" t="s">
        <v>122</v>
      </c>
      <c r="W16" s="200"/>
      <c r="X16" s="22">
        <v>-4.7500000000000001E-2</v>
      </c>
      <c r="Y16" s="341">
        <v>0</v>
      </c>
      <c r="Z16" s="341"/>
      <c r="AA16" s="341">
        <v>3051</v>
      </c>
      <c r="AB16" s="341"/>
    </row>
    <row r="17" spans="1:28" ht="15.75" thickBot="1" x14ac:dyDescent="0.3">
      <c r="A17" s="491"/>
      <c r="B17" s="14" t="s">
        <v>22</v>
      </c>
      <c r="C17" s="39">
        <v>8303.49</v>
      </c>
      <c r="D17" s="39">
        <v>1612.27</v>
      </c>
      <c r="E17" s="1">
        <v>1612.27</v>
      </c>
      <c r="F17" s="1">
        <v>4457.59</v>
      </c>
      <c r="G17" s="1">
        <v>1702.36</v>
      </c>
      <c r="H17" s="199">
        <v>1705.36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199">
        <v>0.13800000000000001</v>
      </c>
      <c r="U17" s="200"/>
      <c r="V17" s="199" t="s">
        <v>122</v>
      </c>
      <c r="W17" s="200"/>
      <c r="X17" s="22">
        <v>0</v>
      </c>
      <c r="Y17" s="296">
        <v>4849</v>
      </c>
      <c r="Z17" s="297"/>
      <c r="AA17" s="296">
        <v>138971</v>
      </c>
      <c r="AB17" s="297"/>
    </row>
    <row r="18" spans="1:28" ht="15.75" thickBot="1" x14ac:dyDescent="0.3">
      <c r="A18" s="491"/>
      <c r="B18" s="21" t="s">
        <v>23</v>
      </c>
      <c r="C18" s="39">
        <v>14946.28</v>
      </c>
      <c r="D18" s="39">
        <v>2902.09</v>
      </c>
      <c r="E18" s="22">
        <v>2902.09</v>
      </c>
      <c r="F18" s="22">
        <v>8023.66</v>
      </c>
      <c r="G18" s="22">
        <v>3064.25</v>
      </c>
      <c r="H18" s="308">
        <v>3064.25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199">
        <v>0.17799999999999999</v>
      </c>
      <c r="U18" s="200"/>
      <c r="V18" s="199" t="s">
        <v>122</v>
      </c>
      <c r="W18" s="200"/>
      <c r="X18" s="22">
        <v>0.5</v>
      </c>
      <c r="Y18" s="519"/>
      <c r="Z18" s="520"/>
      <c r="AA18" s="519"/>
      <c r="AB18" s="520"/>
    </row>
    <row r="19" spans="1:28" x14ac:dyDescent="0.25">
      <c r="A19" s="491"/>
      <c r="B19" s="351" t="s">
        <v>26</v>
      </c>
      <c r="C19" s="215">
        <v>14946.28</v>
      </c>
      <c r="D19" s="215">
        <v>2902.09</v>
      </c>
      <c r="E19" s="215">
        <v>2902.09</v>
      </c>
      <c r="F19" s="215">
        <v>8023.66</v>
      </c>
      <c r="G19" s="215">
        <v>3064.25</v>
      </c>
      <c r="H19" s="207">
        <v>3064.25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0.25</v>
      </c>
      <c r="U19" s="297"/>
      <c r="V19" s="296" t="s">
        <v>122</v>
      </c>
      <c r="W19" s="297"/>
      <c r="X19" s="310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311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124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3321.4</v>
      </c>
      <c r="D23" s="39">
        <v>644.91</v>
      </c>
      <c r="E23" s="1">
        <v>1612.27</v>
      </c>
      <c r="F23" s="1">
        <v>1337.28</v>
      </c>
      <c r="G23" s="1">
        <v>510.71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199">
        <v>4.2000000000000003E-2</v>
      </c>
      <c r="U23" s="200"/>
      <c r="V23" s="199" t="s">
        <v>122</v>
      </c>
      <c r="W23" s="200"/>
      <c r="X23" s="22">
        <v>-0.1585</v>
      </c>
      <c r="Y23" s="341">
        <v>3336</v>
      </c>
      <c r="Z23" s="341"/>
      <c r="AA23" s="341">
        <v>109250</v>
      </c>
      <c r="AB23" s="341"/>
    </row>
    <row r="24" spans="1:28" ht="15.75" thickBot="1" x14ac:dyDescent="0.3">
      <c r="A24" s="491"/>
      <c r="B24" s="14" t="s">
        <v>21</v>
      </c>
      <c r="C24" s="39">
        <v>4982.09</v>
      </c>
      <c r="D24" s="39">
        <v>967.36</v>
      </c>
      <c r="E24" s="1">
        <v>1612.27</v>
      </c>
      <c r="F24" s="1">
        <v>2674.55</v>
      </c>
      <c r="G24" s="1">
        <v>1021.42</v>
      </c>
      <c r="H24" s="199">
        <v>1703.36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199">
        <v>6.0999999999999999E-2</v>
      </c>
      <c r="U24" s="200"/>
      <c r="V24" s="199" t="s">
        <v>122</v>
      </c>
      <c r="W24" s="200"/>
      <c r="X24" s="22">
        <v>-0.1268</v>
      </c>
      <c r="Y24" s="341">
        <v>1513</v>
      </c>
      <c r="Z24" s="341"/>
      <c r="AA24" s="341">
        <v>26669</v>
      </c>
      <c r="AB24" s="341"/>
    </row>
    <row r="25" spans="1:28" ht="15.75" thickBot="1" x14ac:dyDescent="0.3">
      <c r="A25" s="491"/>
      <c r="B25" s="14" t="s">
        <v>24</v>
      </c>
      <c r="C25" s="39">
        <v>8303.49</v>
      </c>
      <c r="D25" s="39">
        <v>1612.27</v>
      </c>
      <c r="E25" s="1">
        <v>1612.27</v>
      </c>
      <c r="F25" s="1">
        <v>4011.83</v>
      </c>
      <c r="G25" s="1">
        <v>1532.12</v>
      </c>
      <c r="H25" s="199">
        <v>1704.36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199">
        <v>9.7000000000000003E-2</v>
      </c>
      <c r="U25" s="200"/>
      <c r="V25" s="199" t="s">
        <v>122</v>
      </c>
      <c r="W25" s="200"/>
      <c r="X25" s="22">
        <v>-4.7500000000000001E-2</v>
      </c>
      <c r="Y25" s="341">
        <v>0</v>
      </c>
      <c r="Z25" s="341"/>
      <c r="AA25" s="341">
        <v>3051</v>
      </c>
      <c r="AB25" s="341"/>
    </row>
    <row r="26" spans="1:28" ht="15.75" thickBot="1" x14ac:dyDescent="0.3">
      <c r="A26" s="491"/>
      <c r="B26" s="14" t="s">
        <v>22</v>
      </c>
      <c r="C26" s="39">
        <v>8303.49</v>
      </c>
      <c r="D26" s="39">
        <v>1612.27</v>
      </c>
      <c r="E26" s="1">
        <v>1612.27</v>
      </c>
      <c r="F26" s="1">
        <v>4457.59</v>
      </c>
      <c r="G26" s="1">
        <v>1702.36</v>
      </c>
      <c r="H26" s="199">
        <v>1705.36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199">
        <v>0.13800000000000001</v>
      </c>
      <c r="U26" s="200"/>
      <c r="V26" s="199" t="s">
        <v>122</v>
      </c>
      <c r="W26" s="200"/>
      <c r="X26" s="22">
        <v>0</v>
      </c>
      <c r="Y26" s="296">
        <v>4849</v>
      </c>
      <c r="Z26" s="297"/>
      <c r="AA26" s="296">
        <v>138971</v>
      </c>
      <c r="AB26" s="297"/>
    </row>
    <row r="27" spans="1:28" ht="15.75" thickBot="1" x14ac:dyDescent="0.3">
      <c r="A27" s="491"/>
      <c r="B27" s="21" t="s">
        <v>23</v>
      </c>
      <c r="C27" s="39">
        <v>14946.28</v>
      </c>
      <c r="D27" s="39">
        <v>2902.09</v>
      </c>
      <c r="E27" s="22">
        <v>2902.09</v>
      </c>
      <c r="F27" s="22">
        <v>8023.66</v>
      </c>
      <c r="G27" s="22">
        <v>3064.25</v>
      </c>
      <c r="H27" s="308">
        <v>3064.25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199">
        <v>0.17799999999999999</v>
      </c>
      <c r="U27" s="200"/>
      <c r="V27" s="199" t="s">
        <v>122</v>
      </c>
      <c r="W27" s="200"/>
      <c r="X27" s="22">
        <v>0.5</v>
      </c>
      <c r="Y27" s="519"/>
      <c r="Z27" s="520"/>
      <c r="AA27" s="519"/>
      <c r="AB27" s="520"/>
    </row>
    <row r="28" spans="1:28" x14ac:dyDescent="0.25">
      <c r="A28" s="491"/>
      <c r="B28" s="351" t="s">
        <v>26</v>
      </c>
      <c r="C28" s="215">
        <v>14946.28</v>
      </c>
      <c r="D28" s="215">
        <v>2902.09</v>
      </c>
      <c r="E28" s="215">
        <v>2902.09</v>
      </c>
      <c r="F28" s="215">
        <v>8023.66</v>
      </c>
      <c r="G28" s="215">
        <v>3064.25</v>
      </c>
      <c r="H28" s="207">
        <v>3064.25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0.25</v>
      </c>
      <c r="U28" s="297"/>
      <c r="V28" s="296" t="s">
        <v>122</v>
      </c>
      <c r="W28" s="297"/>
      <c r="X28" s="310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311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124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3321.4</v>
      </c>
      <c r="D32" s="39">
        <v>644.91</v>
      </c>
      <c r="E32" s="1">
        <v>1612.27</v>
      </c>
      <c r="F32" s="1">
        <v>1337.28</v>
      </c>
      <c r="G32" s="1">
        <v>510.71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199">
        <v>4.2000000000000003E-2</v>
      </c>
      <c r="U32" s="200"/>
      <c r="V32" s="199" t="s">
        <v>122</v>
      </c>
      <c r="W32" s="200"/>
      <c r="X32" s="22">
        <v>-0.1585</v>
      </c>
      <c r="Y32" s="341">
        <v>3336</v>
      </c>
      <c r="Z32" s="341"/>
      <c r="AA32" s="341">
        <v>109250</v>
      </c>
      <c r="AB32" s="341"/>
    </row>
    <row r="33" spans="1:28" ht="15.75" thickBot="1" x14ac:dyDescent="0.3">
      <c r="A33" s="491"/>
      <c r="B33" s="14" t="s">
        <v>21</v>
      </c>
      <c r="C33" s="39">
        <v>4982.09</v>
      </c>
      <c r="D33" s="39">
        <v>967.36</v>
      </c>
      <c r="E33" s="1">
        <v>1612.27</v>
      </c>
      <c r="F33" s="1">
        <v>2674.55</v>
      </c>
      <c r="G33" s="1">
        <v>1021.42</v>
      </c>
      <c r="H33" s="199">
        <v>1703.36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199">
        <v>6.0999999999999999E-2</v>
      </c>
      <c r="U33" s="200"/>
      <c r="V33" s="199" t="s">
        <v>122</v>
      </c>
      <c r="W33" s="200"/>
      <c r="X33" s="22">
        <v>-0.1268</v>
      </c>
      <c r="Y33" s="341">
        <v>1513</v>
      </c>
      <c r="Z33" s="341"/>
      <c r="AA33" s="341">
        <v>26669</v>
      </c>
      <c r="AB33" s="341"/>
    </row>
    <row r="34" spans="1:28" ht="15.75" thickBot="1" x14ac:dyDescent="0.3">
      <c r="A34" s="491"/>
      <c r="B34" s="14" t="s">
        <v>24</v>
      </c>
      <c r="C34" s="39">
        <v>8303.49</v>
      </c>
      <c r="D34" s="39">
        <v>1612.27</v>
      </c>
      <c r="E34" s="1">
        <v>1612.27</v>
      </c>
      <c r="F34" s="1">
        <v>4011.83</v>
      </c>
      <c r="G34" s="1">
        <v>1532.12</v>
      </c>
      <c r="H34" s="199">
        <v>1704.36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199">
        <v>9.7000000000000003E-2</v>
      </c>
      <c r="U34" s="200"/>
      <c r="V34" s="199" t="s">
        <v>122</v>
      </c>
      <c r="W34" s="200"/>
      <c r="X34" s="22">
        <v>-4.7500000000000001E-2</v>
      </c>
      <c r="Y34" s="341">
        <v>0</v>
      </c>
      <c r="Z34" s="341"/>
      <c r="AA34" s="341">
        <v>3051</v>
      </c>
      <c r="AB34" s="341"/>
    </row>
    <row r="35" spans="1:28" ht="15.75" thickBot="1" x14ac:dyDescent="0.3">
      <c r="A35" s="491"/>
      <c r="B35" s="14" t="s">
        <v>22</v>
      </c>
      <c r="C35" s="39">
        <v>8303.49</v>
      </c>
      <c r="D35" s="39">
        <v>1612.27</v>
      </c>
      <c r="E35" s="1">
        <v>1612.27</v>
      </c>
      <c r="F35" s="1">
        <v>4457.59</v>
      </c>
      <c r="G35" s="1">
        <v>1702.36</v>
      </c>
      <c r="H35" s="199">
        <v>1705.36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199">
        <v>0.13800000000000001</v>
      </c>
      <c r="U35" s="200"/>
      <c r="V35" s="199" t="s">
        <v>122</v>
      </c>
      <c r="W35" s="200"/>
      <c r="X35" s="22">
        <v>0</v>
      </c>
      <c r="Y35" s="296">
        <v>4849</v>
      </c>
      <c r="Z35" s="297"/>
      <c r="AA35" s="296">
        <v>138971</v>
      </c>
      <c r="AB35" s="297"/>
    </row>
    <row r="36" spans="1:28" ht="15.75" thickBot="1" x14ac:dyDescent="0.3">
      <c r="A36" s="491"/>
      <c r="B36" s="21" t="s">
        <v>23</v>
      </c>
      <c r="C36" s="39">
        <v>14946.28</v>
      </c>
      <c r="D36" s="39">
        <v>2902.09</v>
      </c>
      <c r="E36" s="22">
        <v>2902.09</v>
      </c>
      <c r="F36" s="22">
        <v>8023.66</v>
      </c>
      <c r="G36" s="22">
        <v>3064.25</v>
      </c>
      <c r="H36" s="308">
        <v>3064.25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199">
        <v>0.17799999999999999</v>
      </c>
      <c r="U36" s="200"/>
      <c r="V36" s="199" t="s">
        <v>122</v>
      </c>
      <c r="W36" s="200"/>
      <c r="X36" s="22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14946.28</v>
      </c>
      <c r="D37" s="215">
        <v>2902.09</v>
      </c>
      <c r="E37" s="215">
        <v>2902.09</v>
      </c>
      <c r="F37" s="215">
        <v>8023.66</v>
      </c>
      <c r="G37" s="215">
        <v>3064.25</v>
      </c>
      <c r="H37" s="207">
        <v>3064.25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0.25</v>
      </c>
      <c r="U37" s="297"/>
      <c r="V37" s="296" t="s">
        <v>122</v>
      </c>
      <c r="W37" s="297"/>
      <c r="X37" s="310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311"/>
      <c r="Y38" s="298"/>
      <c r="Z38" s="299"/>
      <c r="AA38" s="298"/>
      <c r="AB38" s="299"/>
    </row>
    <row r="39" spans="1:28" ht="15.75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  <row r="49" spans="1:1" x14ac:dyDescent="0.25">
      <c r="A49" s="57" t="s">
        <v>123</v>
      </c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Y35:Z38"/>
    <mergeCell ref="AA35:AB38"/>
    <mergeCell ref="X37:X38"/>
    <mergeCell ref="A1:W1"/>
    <mergeCell ref="B2:E2"/>
    <mergeCell ref="F2:I2"/>
    <mergeCell ref="J2:O2"/>
    <mergeCell ref="P2:S2"/>
    <mergeCell ref="T2:W2"/>
    <mergeCell ref="P5:Q5"/>
    <mergeCell ref="H6:I6"/>
    <mergeCell ref="P6:Q6"/>
    <mergeCell ref="A3:A11"/>
    <mergeCell ref="B3:B4"/>
    <mergeCell ref="C3:C4"/>
    <mergeCell ref="D3:E3"/>
    <mergeCell ref="F3:F4"/>
    <mergeCell ref="B10:B11"/>
    <mergeCell ref="H7:I7"/>
    <mergeCell ref="P7:Q7"/>
    <mergeCell ref="J3:L3"/>
    <mergeCell ref="M3:O3"/>
    <mergeCell ref="P3:Q4"/>
    <mergeCell ref="V7:W7"/>
    <mergeCell ref="V8:W8"/>
    <mergeCell ref="T9:U9"/>
    <mergeCell ref="V9:W9"/>
    <mergeCell ref="P8:Q8"/>
    <mergeCell ref="H9:I9"/>
    <mergeCell ref="P9:Q9"/>
    <mergeCell ref="R3:S3"/>
    <mergeCell ref="T3:W4"/>
    <mergeCell ref="H4:I4"/>
    <mergeCell ref="G3:I3"/>
    <mergeCell ref="H5:I5"/>
    <mergeCell ref="T5:U5"/>
    <mergeCell ref="V5:W5"/>
    <mergeCell ref="T6:U6"/>
    <mergeCell ref="V6:W6"/>
    <mergeCell ref="C10:C11"/>
    <mergeCell ref="D10:D11"/>
    <mergeCell ref="E10:E11"/>
    <mergeCell ref="F10:F11"/>
    <mergeCell ref="H8:I8"/>
    <mergeCell ref="G10:G11"/>
    <mergeCell ref="H10:I11"/>
    <mergeCell ref="M12:O12"/>
    <mergeCell ref="T7:U7"/>
    <mergeCell ref="P10:Q11"/>
    <mergeCell ref="R10:R11"/>
    <mergeCell ref="S10:S11"/>
    <mergeCell ref="M10:M11"/>
    <mergeCell ref="N10:N11"/>
    <mergeCell ref="O10:O11"/>
    <mergeCell ref="J10:J11"/>
    <mergeCell ref="K10:K11"/>
    <mergeCell ref="L10:L11"/>
    <mergeCell ref="T8:U8"/>
    <mergeCell ref="A12:A20"/>
    <mergeCell ref="B12:B13"/>
    <mergeCell ref="C12:C13"/>
    <mergeCell ref="D12:E12"/>
    <mergeCell ref="F12:F13"/>
    <mergeCell ref="G12:I12"/>
    <mergeCell ref="H16:I16"/>
    <mergeCell ref="H18:I18"/>
    <mergeCell ref="H17:I17"/>
    <mergeCell ref="B19:B20"/>
    <mergeCell ref="H14:I14"/>
    <mergeCell ref="C19:C20"/>
    <mergeCell ref="D19:D20"/>
    <mergeCell ref="E19:E20"/>
    <mergeCell ref="F19:F20"/>
    <mergeCell ref="G19:G20"/>
    <mergeCell ref="H19:I20"/>
    <mergeCell ref="H15:I15"/>
    <mergeCell ref="P15:Q15"/>
    <mergeCell ref="T14:U14"/>
    <mergeCell ref="V14:W14"/>
    <mergeCell ref="T15:U15"/>
    <mergeCell ref="V15:W15"/>
    <mergeCell ref="T16:U16"/>
    <mergeCell ref="V16:W16"/>
    <mergeCell ref="T12:W13"/>
    <mergeCell ref="H13:I13"/>
    <mergeCell ref="P12:Q13"/>
    <mergeCell ref="R12:S12"/>
    <mergeCell ref="J12:L12"/>
    <mergeCell ref="J21:L21"/>
    <mergeCell ref="M21:O21"/>
    <mergeCell ref="P21:Q22"/>
    <mergeCell ref="R21:S21"/>
    <mergeCell ref="T21:W22"/>
    <mergeCell ref="H22:I22"/>
    <mergeCell ref="P19:Q20"/>
    <mergeCell ref="R19:R20"/>
    <mergeCell ref="S19:S20"/>
    <mergeCell ref="G21:I21"/>
    <mergeCell ref="J19:J20"/>
    <mergeCell ref="K19:K20"/>
    <mergeCell ref="L19:L20"/>
    <mergeCell ref="M19:M20"/>
    <mergeCell ref="N19:N20"/>
    <mergeCell ref="O19:O20"/>
    <mergeCell ref="T19:U20"/>
    <mergeCell ref="V19:W20"/>
    <mergeCell ref="H25:I25"/>
    <mergeCell ref="P25:Q25"/>
    <mergeCell ref="H26:I26"/>
    <mergeCell ref="P26:Q26"/>
    <mergeCell ref="H23:I23"/>
    <mergeCell ref="P23:Q23"/>
    <mergeCell ref="H24:I24"/>
    <mergeCell ref="P24:Q24"/>
    <mergeCell ref="T23:U23"/>
    <mergeCell ref="T24:U24"/>
    <mergeCell ref="T25:U25"/>
    <mergeCell ref="T26:U26"/>
    <mergeCell ref="A30:A38"/>
    <mergeCell ref="B30:B31"/>
    <mergeCell ref="C30:C31"/>
    <mergeCell ref="D30:E30"/>
    <mergeCell ref="F30:F31"/>
    <mergeCell ref="G30:I30"/>
    <mergeCell ref="J28:J29"/>
    <mergeCell ref="K28:K29"/>
    <mergeCell ref="L28:L29"/>
    <mergeCell ref="A21:A29"/>
    <mergeCell ref="B21:B22"/>
    <mergeCell ref="C21:C22"/>
    <mergeCell ref="D21:E21"/>
    <mergeCell ref="F21:F22"/>
    <mergeCell ref="J30:L30"/>
    <mergeCell ref="H34:I34"/>
    <mergeCell ref="H36:I36"/>
    <mergeCell ref="H27:I27"/>
    <mergeCell ref="B28:B29"/>
    <mergeCell ref="C28:C29"/>
    <mergeCell ref="D28:D29"/>
    <mergeCell ref="E28:E29"/>
    <mergeCell ref="F28:F29"/>
    <mergeCell ref="G28:G29"/>
    <mergeCell ref="M30:O30"/>
    <mergeCell ref="P30:Q31"/>
    <mergeCell ref="R30:S30"/>
    <mergeCell ref="T30:W31"/>
    <mergeCell ref="H31:I31"/>
    <mergeCell ref="P28:Q29"/>
    <mergeCell ref="R28:R29"/>
    <mergeCell ref="S28:S29"/>
    <mergeCell ref="M28:M29"/>
    <mergeCell ref="N28:N29"/>
    <mergeCell ref="O28:O29"/>
    <mergeCell ref="H28:I29"/>
    <mergeCell ref="T28:U29"/>
    <mergeCell ref="V28:W29"/>
    <mergeCell ref="H35:I35"/>
    <mergeCell ref="P35:Q35"/>
    <mergeCell ref="H32:I32"/>
    <mergeCell ref="P32:Q32"/>
    <mergeCell ref="H33:I33"/>
    <mergeCell ref="P33:Q33"/>
    <mergeCell ref="T32:U32"/>
    <mergeCell ref="V32:W32"/>
    <mergeCell ref="T33:U33"/>
    <mergeCell ref="V33:W33"/>
    <mergeCell ref="T34:U34"/>
    <mergeCell ref="V34:W34"/>
    <mergeCell ref="T35:U35"/>
    <mergeCell ref="V35:W35"/>
    <mergeCell ref="B37:B38"/>
    <mergeCell ref="C37:C38"/>
    <mergeCell ref="D37:D38"/>
    <mergeCell ref="E37:E38"/>
    <mergeCell ref="F37:F38"/>
    <mergeCell ref="G37:G38"/>
    <mergeCell ref="H37:I38"/>
    <mergeCell ref="P37:Q38"/>
    <mergeCell ref="R37:R38"/>
    <mergeCell ref="J37:J38"/>
    <mergeCell ref="K37:K38"/>
    <mergeCell ref="L37:L38"/>
    <mergeCell ref="M37:M38"/>
    <mergeCell ref="N37:N38"/>
    <mergeCell ref="O37:O38"/>
    <mergeCell ref="T37:U38"/>
    <mergeCell ref="V37:W38"/>
    <mergeCell ref="T10:U11"/>
    <mergeCell ref="V10:W11"/>
    <mergeCell ref="P36:Q36"/>
    <mergeCell ref="S37:S38"/>
    <mergeCell ref="T36:U36"/>
    <mergeCell ref="V36:W36"/>
    <mergeCell ref="P34:Q34"/>
    <mergeCell ref="P27:Q27"/>
    <mergeCell ref="T27:U27"/>
    <mergeCell ref="V27:W27"/>
    <mergeCell ref="V23:W23"/>
    <mergeCell ref="V24:W24"/>
    <mergeCell ref="V25:W25"/>
    <mergeCell ref="V26:W26"/>
    <mergeCell ref="P18:Q18"/>
    <mergeCell ref="P16:Q16"/>
    <mergeCell ref="T18:U18"/>
    <mergeCell ref="V18:W18"/>
    <mergeCell ref="P17:Q17"/>
    <mergeCell ref="T17:U17"/>
    <mergeCell ref="V17:W17"/>
    <mergeCell ref="P14:Q14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8:Z11"/>
    <mergeCell ref="AA8:AB11"/>
    <mergeCell ref="X10:X11"/>
    <mergeCell ref="X12:X13"/>
    <mergeCell ref="Y12:Z13"/>
    <mergeCell ref="AA12:AB13"/>
    <mergeCell ref="Y14:Z14"/>
    <mergeCell ref="AA14:AB14"/>
    <mergeCell ref="Y15:Z15"/>
    <mergeCell ref="AA15:AB15"/>
    <mergeCell ref="X28:X29"/>
    <mergeCell ref="X30:X31"/>
    <mergeCell ref="Y30:Z31"/>
    <mergeCell ref="AA30:AB31"/>
    <mergeCell ref="Y16:Z16"/>
    <mergeCell ref="AA16:AB16"/>
    <mergeCell ref="Y17:Z20"/>
    <mergeCell ref="AA17:AB20"/>
    <mergeCell ref="X19:X20"/>
    <mergeCell ref="X21:X22"/>
    <mergeCell ref="Y21:Z22"/>
    <mergeCell ref="AA21:AB22"/>
    <mergeCell ref="Y23:Z23"/>
    <mergeCell ref="AA23:AB23"/>
    <mergeCell ref="Y32:Z32"/>
    <mergeCell ref="AA32:AB32"/>
    <mergeCell ref="Y33:Z33"/>
    <mergeCell ref="AA33:AB33"/>
    <mergeCell ref="Y34:Z34"/>
    <mergeCell ref="Y24:Z24"/>
    <mergeCell ref="AA24:AB24"/>
    <mergeCell ref="Y25:Z25"/>
    <mergeCell ref="AA25:AB25"/>
    <mergeCell ref="Y26:Z29"/>
    <mergeCell ref="AA26:AB29"/>
    <mergeCell ref="AA34:AB34"/>
  </mergeCells>
  <conditionalFormatting sqref="B5:C5 B14 B23 B32 C6:C9 E5:E8">
    <cfRule type="expression" dxfId="725" priority="285">
      <formula>#REF!=1</formula>
    </cfRule>
  </conditionalFormatting>
  <conditionalFormatting sqref="B6 B15 B24 B33">
    <cfRule type="expression" dxfId="724" priority="284">
      <formula>#REF!=2</formula>
    </cfRule>
  </conditionalFormatting>
  <conditionalFormatting sqref="B7 B16 B25 B34">
    <cfRule type="expression" dxfId="723" priority="283">
      <formula>#REF!=3</formula>
    </cfRule>
  </conditionalFormatting>
  <conditionalFormatting sqref="B8 B17 B26 B35">
    <cfRule type="expression" dxfId="722" priority="282">
      <formula>#REF!=4</formula>
    </cfRule>
  </conditionalFormatting>
  <conditionalFormatting sqref="B9 E9 B18 B27 B36">
    <cfRule type="expression" dxfId="721" priority="281">
      <formula>#REF!=5</formula>
    </cfRule>
  </conditionalFormatting>
  <conditionalFormatting sqref="B10:C10 B19 B28 B37 E10">
    <cfRule type="expression" dxfId="720" priority="280">
      <formula>#REF!=6</formula>
    </cfRule>
  </conditionalFormatting>
  <conditionalFormatting sqref="D4 D13 D22 D31">
    <cfRule type="expression" dxfId="719" priority="279">
      <formula>#REF!&gt;0</formula>
    </cfRule>
  </conditionalFormatting>
  <conditionalFormatting sqref="E4 E13 E22 E31">
    <cfRule type="expression" dxfId="718" priority="278">
      <formula>#REF!&gt;0</formula>
    </cfRule>
  </conditionalFormatting>
  <conditionalFormatting sqref="F5:H5 H6:H8">
    <cfRule type="expression" dxfId="717" priority="277">
      <formula>#REF!=1</formula>
    </cfRule>
  </conditionalFormatting>
  <conditionalFormatting sqref="F6:G6">
    <cfRule type="expression" dxfId="716" priority="276">
      <formula>#REF!=2</formula>
    </cfRule>
  </conditionalFormatting>
  <conditionalFormatting sqref="F7:G7">
    <cfRule type="expression" dxfId="715" priority="275">
      <formula>#REF!=3</formula>
    </cfRule>
  </conditionalFormatting>
  <conditionalFormatting sqref="F8:G8">
    <cfRule type="expression" dxfId="714" priority="274">
      <formula>#REF!=4</formula>
    </cfRule>
  </conditionalFormatting>
  <conditionalFormatting sqref="F9:H9">
    <cfRule type="expression" dxfId="713" priority="273">
      <formula>#REF!=5</formula>
    </cfRule>
  </conditionalFormatting>
  <conditionalFormatting sqref="F10:G10">
    <cfRule type="expression" dxfId="712" priority="272">
      <formula>#REF!=6</formula>
    </cfRule>
  </conditionalFormatting>
  <conditionalFormatting sqref="G4 G13 G22 G31">
    <cfRule type="expression" dxfId="711" priority="271">
      <formula>#REF!&gt;0</formula>
    </cfRule>
  </conditionalFormatting>
  <conditionalFormatting sqref="H4 H13 H22 H31">
    <cfRule type="expression" dxfId="710" priority="270">
      <formula>#REF!&gt;0</formula>
    </cfRule>
  </conditionalFormatting>
  <conditionalFormatting sqref="H10">
    <cfRule type="expression" dxfId="709" priority="269">
      <formula>#REF!=6</formula>
    </cfRule>
  </conditionalFormatting>
  <conditionalFormatting sqref="M4">
    <cfRule type="expression" dxfId="708" priority="262">
      <formula>AND($F$29=$G$26,$K$26&gt;=130)</formula>
    </cfRule>
  </conditionalFormatting>
  <conditionalFormatting sqref="N4">
    <cfRule type="expression" dxfId="707" priority="261">
      <formula>AND($G$29=$G$26,$K$26&gt;=130)</formula>
    </cfRule>
  </conditionalFormatting>
  <conditionalFormatting sqref="O4">
    <cfRule type="expression" dxfId="706" priority="260">
      <formula>AND($H$29=$G$26,$K$26&gt;=130)</formula>
    </cfRule>
  </conditionalFormatting>
  <conditionalFormatting sqref="M13">
    <cfRule type="expression" dxfId="705" priority="241">
      <formula>AND($F$29=$G$26,$K$26&gt;=130)</formula>
    </cfRule>
  </conditionalFormatting>
  <conditionalFormatting sqref="N13">
    <cfRule type="expression" dxfId="704" priority="240">
      <formula>AND($G$29=$G$26,$K$26&gt;=130)</formula>
    </cfRule>
  </conditionalFormatting>
  <conditionalFormatting sqref="O13">
    <cfRule type="expression" dxfId="703" priority="239">
      <formula>AND($H$29=$G$26,$K$26&gt;=130)</formula>
    </cfRule>
  </conditionalFormatting>
  <conditionalFormatting sqref="M22">
    <cfRule type="expression" dxfId="702" priority="238">
      <formula>AND($F$29=$G$26,$K$26&gt;=130)</formula>
    </cfRule>
  </conditionalFormatting>
  <conditionalFormatting sqref="N22">
    <cfRule type="expression" dxfId="701" priority="237">
      <formula>AND($G$29=$G$26,$K$26&gt;=130)</formula>
    </cfRule>
  </conditionalFormatting>
  <conditionalFormatting sqref="O22">
    <cfRule type="expression" dxfId="700" priority="236">
      <formula>AND($H$29=$G$26,$K$26&gt;=130)</formula>
    </cfRule>
  </conditionalFormatting>
  <conditionalFormatting sqref="M31">
    <cfRule type="expression" dxfId="699" priority="235">
      <formula>AND($F$29=$G$26,$K$26&gt;=130)</formula>
    </cfRule>
  </conditionalFormatting>
  <conditionalFormatting sqref="N31">
    <cfRule type="expression" dxfId="698" priority="234">
      <formula>AND($G$29=$G$26,$K$26&gt;=130)</formula>
    </cfRule>
  </conditionalFormatting>
  <conditionalFormatting sqref="O31">
    <cfRule type="expression" dxfId="697" priority="233">
      <formula>AND($H$29=$G$26,$K$26&gt;=130)</formula>
    </cfRule>
  </conditionalFormatting>
  <conditionalFormatting sqref="S4">
    <cfRule type="expression" dxfId="696" priority="222">
      <formula>$J$45&gt;0</formula>
    </cfRule>
  </conditionalFormatting>
  <conditionalFormatting sqref="R4">
    <cfRule type="expression" dxfId="695" priority="221">
      <formula>$J$42&gt;0</formula>
    </cfRule>
  </conditionalFormatting>
  <conditionalFormatting sqref="S13">
    <cfRule type="expression" dxfId="694" priority="172">
      <formula>$J$45&gt;0</formula>
    </cfRule>
  </conditionalFormatting>
  <conditionalFormatting sqref="R13">
    <cfRule type="expression" dxfId="693" priority="171">
      <formula>$J$42&gt;0</formula>
    </cfRule>
  </conditionalFormatting>
  <conditionalFormatting sqref="S22">
    <cfRule type="expression" dxfId="692" priority="170">
      <formula>$J$45&gt;0</formula>
    </cfRule>
  </conditionalFormatting>
  <conditionalFormatting sqref="R22">
    <cfRule type="expression" dxfId="691" priority="169">
      <formula>$J$42&gt;0</formula>
    </cfRule>
  </conditionalFormatting>
  <conditionalFormatting sqref="S31">
    <cfRule type="expression" dxfId="690" priority="168">
      <formula>$J$45&gt;0</formula>
    </cfRule>
  </conditionalFormatting>
  <conditionalFormatting sqref="R31">
    <cfRule type="expression" dxfId="689" priority="167">
      <formula>$J$42&gt;0</formula>
    </cfRule>
  </conditionalFormatting>
  <conditionalFormatting sqref="D5:D9">
    <cfRule type="expression" dxfId="688" priority="166">
      <formula>#REF!=1</formula>
    </cfRule>
  </conditionalFormatting>
  <conditionalFormatting sqref="D10">
    <cfRule type="expression" dxfId="687" priority="165">
      <formula>#REF!=6</formula>
    </cfRule>
  </conditionalFormatting>
  <conditionalFormatting sqref="C14:C18 E14:E17">
    <cfRule type="expression" dxfId="686" priority="164">
      <formula>#REF!=1</formula>
    </cfRule>
  </conditionalFormatting>
  <conditionalFormatting sqref="E18">
    <cfRule type="expression" dxfId="685" priority="163">
      <formula>#REF!=5</formula>
    </cfRule>
  </conditionalFormatting>
  <conditionalFormatting sqref="C19 E19">
    <cfRule type="expression" dxfId="684" priority="162">
      <formula>#REF!=6</formula>
    </cfRule>
  </conditionalFormatting>
  <conditionalFormatting sqref="F14:H14 H15:H17">
    <cfRule type="expression" dxfId="683" priority="161">
      <formula>#REF!=1</formula>
    </cfRule>
  </conditionalFormatting>
  <conditionalFormatting sqref="F15:G15">
    <cfRule type="expression" dxfId="682" priority="160">
      <formula>#REF!=2</formula>
    </cfRule>
  </conditionalFormatting>
  <conditionalFormatting sqref="F16:G16">
    <cfRule type="expression" dxfId="681" priority="159">
      <formula>#REF!=3</formula>
    </cfRule>
  </conditionalFormatting>
  <conditionalFormatting sqref="F17:G17">
    <cfRule type="expression" dxfId="680" priority="158">
      <formula>#REF!=4</formula>
    </cfRule>
  </conditionalFormatting>
  <conditionalFormatting sqref="F18:H18">
    <cfRule type="expression" dxfId="679" priority="157">
      <formula>#REF!=5</formula>
    </cfRule>
  </conditionalFormatting>
  <conditionalFormatting sqref="F19:G19">
    <cfRule type="expression" dxfId="678" priority="156">
      <formula>#REF!=6</formula>
    </cfRule>
  </conditionalFormatting>
  <conditionalFormatting sqref="H19">
    <cfRule type="expression" dxfId="677" priority="155">
      <formula>#REF!=6</formula>
    </cfRule>
  </conditionalFormatting>
  <conditionalFormatting sqref="D14:D18">
    <cfRule type="expression" dxfId="676" priority="154">
      <formula>#REF!=1</formula>
    </cfRule>
  </conditionalFormatting>
  <conditionalFormatting sqref="D19">
    <cfRule type="expression" dxfId="675" priority="153">
      <formula>#REF!=6</formula>
    </cfRule>
  </conditionalFormatting>
  <conditionalFormatting sqref="C23:C27 E23:E26">
    <cfRule type="expression" dxfId="674" priority="152">
      <formula>#REF!=1</formula>
    </cfRule>
  </conditionalFormatting>
  <conditionalFormatting sqref="E27">
    <cfRule type="expression" dxfId="673" priority="151">
      <formula>#REF!=5</formula>
    </cfRule>
  </conditionalFormatting>
  <conditionalFormatting sqref="C28 E28">
    <cfRule type="expression" dxfId="672" priority="150">
      <formula>#REF!=6</formula>
    </cfRule>
  </conditionalFormatting>
  <conditionalFormatting sqref="F23:H23 H24:H26">
    <cfRule type="expression" dxfId="671" priority="149">
      <formula>#REF!=1</formula>
    </cfRule>
  </conditionalFormatting>
  <conditionalFormatting sqref="F24:G24">
    <cfRule type="expression" dxfId="670" priority="148">
      <formula>#REF!=2</formula>
    </cfRule>
  </conditionalFormatting>
  <conditionalFormatting sqref="F25:G25">
    <cfRule type="expression" dxfId="669" priority="147">
      <formula>#REF!=3</formula>
    </cfRule>
  </conditionalFormatting>
  <conditionalFormatting sqref="F26:G26">
    <cfRule type="expression" dxfId="668" priority="146">
      <formula>#REF!=4</formula>
    </cfRule>
  </conditionalFormatting>
  <conditionalFormatting sqref="F27:H27">
    <cfRule type="expression" dxfId="667" priority="145">
      <formula>#REF!=5</formula>
    </cfRule>
  </conditionalFormatting>
  <conditionalFormatting sqref="F28:G28">
    <cfRule type="expression" dxfId="666" priority="144">
      <formula>#REF!=6</formula>
    </cfRule>
  </conditionalFormatting>
  <conditionalFormatting sqref="H28">
    <cfRule type="expression" dxfId="665" priority="143">
      <formula>#REF!=6</formula>
    </cfRule>
  </conditionalFormatting>
  <conditionalFormatting sqref="D23:D27">
    <cfRule type="expression" dxfId="664" priority="142">
      <formula>#REF!=1</formula>
    </cfRule>
  </conditionalFormatting>
  <conditionalFormatting sqref="D28">
    <cfRule type="expression" dxfId="663" priority="141">
      <formula>#REF!=6</formula>
    </cfRule>
  </conditionalFormatting>
  <conditionalFormatting sqref="C32:C36 E32:E35">
    <cfRule type="expression" dxfId="662" priority="140">
      <formula>#REF!=1</formula>
    </cfRule>
  </conditionalFormatting>
  <conditionalFormatting sqref="E36">
    <cfRule type="expression" dxfId="661" priority="139">
      <formula>#REF!=5</formula>
    </cfRule>
  </conditionalFormatting>
  <conditionalFormatting sqref="C37 E37">
    <cfRule type="expression" dxfId="660" priority="138">
      <formula>#REF!=6</formula>
    </cfRule>
  </conditionalFormatting>
  <conditionalFormatting sqref="F32:H32 H33:H35">
    <cfRule type="expression" dxfId="659" priority="137">
      <formula>#REF!=1</formula>
    </cfRule>
  </conditionalFormatting>
  <conditionalFormatting sqref="F33:G33">
    <cfRule type="expression" dxfId="658" priority="136">
      <formula>#REF!=2</formula>
    </cfRule>
  </conditionalFormatting>
  <conditionalFormatting sqref="F34:G34">
    <cfRule type="expression" dxfId="657" priority="135">
      <formula>#REF!=3</formula>
    </cfRule>
  </conditionalFormatting>
  <conditionalFormatting sqref="F35:G35">
    <cfRule type="expression" dxfId="656" priority="134">
      <formula>#REF!=4</formula>
    </cfRule>
  </conditionalFormatting>
  <conditionalFormatting sqref="F36:H36">
    <cfRule type="expression" dxfId="655" priority="133">
      <formula>#REF!=5</formula>
    </cfRule>
  </conditionalFormatting>
  <conditionalFormatting sqref="F37:G37">
    <cfRule type="expression" dxfId="654" priority="132">
      <formula>#REF!=6</formula>
    </cfRule>
  </conditionalFormatting>
  <conditionalFormatting sqref="H37">
    <cfRule type="expression" dxfId="653" priority="131">
      <formula>#REF!=6</formula>
    </cfRule>
  </conditionalFormatting>
  <conditionalFormatting sqref="D32:D36">
    <cfRule type="expression" dxfId="652" priority="130">
      <formula>#REF!=1</formula>
    </cfRule>
  </conditionalFormatting>
  <conditionalFormatting sqref="D37">
    <cfRule type="expression" dxfId="651" priority="129">
      <formula>#REF!=6</formula>
    </cfRule>
  </conditionalFormatting>
  <conditionalFormatting sqref="V5 V10">
    <cfRule type="expression" dxfId="650" priority="128">
      <formula>$C$58=1</formula>
    </cfRule>
  </conditionalFormatting>
  <conditionalFormatting sqref="T5:T10">
    <cfRule type="expression" dxfId="649" priority="124">
      <formula>$C$58=1</formula>
    </cfRule>
  </conditionalFormatting>
  <conditionalFormatting sqref="V6:V9">
    <cfRule type="expression" dxfId="648" priority="122">
      <formula>$C$58=1</formula>
    </cfRule>
  </conditionalFormatting>
  <conditionalFormatting sqref="V14 V19">
    <cfRule type="expression" dxfId="647" priority="121">
      <formula>$C$58=1</formula>
    </cfRule>
  </conditionalFormatting>
  <conditionalFormatting sqref="T14:T19">
    <cfRule type="expression" dxfId="646" priority="120">
      <formula>$C$58=1</formula>
    </cfRule>
  </conditionalFormatting>
  <conditionalFormatting sqref="V15:V18">
    <cfRule type="expression" dxfId="645" priority="119">
      <formula>$C$58=1</formula>
    </cfRule>
  </conditionalFormatting>
  <conditionalFormatting sqref="V23 V28">
    <cfRule type="expression" dxfId="644" priority="118">
      <formula>$C$58=1</formula>
    </cfRule>
  </conditionalFormatting>
  <conditionalFormatting sqref="T23:T28">
    <cfRule type="expression" dxfId="643" priority="117">
      <formula>$C$58=1</formula>
    </cfRule>
  </conditionalFormatting>
  <conditionalFormatting sqref="V24:V27">
    <cfRule type="expression" dxfId="642" priority="116">
      <formula>$C$58=1</formula>
    </cfRule>
  </conditionalFormatting>
  <conditionalFormatting sqref="V32 V37">
    <cfRule type="expression" dxfId="641" priority="115">
      <formula>$C$58=1</formula>
    </cfRule>
  </conditionalFormatting>
  <conditionalFormatting sqref="T32:T37">
    <cfRule type="expression" dxfId="640" priority="114">
      <formula>$C$58=1</formula>
    </cfRule>
  </conditionalFormatting>
  <conditionalFormatting sqref="V33:V36">
    <cfRule type="expression" dxfId="639" priority="113">
      <formula>$C$58=1</formula>
    </cfRule>
  </conditionalFormatting>
  <conditionalFormatting sqref="P5:S9">
    <cfRule type="expression" dxfId="638" priority="112">
      <formula>$C$42=1</formula>
    </cfRule>
  </conditionalFormatting>
  <conditionalFormatting sqref="S10">
    <cfRule type="expression" dxfId="637" priority="111">
      <formula>$C$26=5</formula>
    </cfRule>
  </conditionalFormatting>
  <conditionalFormatting sqref="R10:S10 P10">
    <cfRule type="expression" dxfId="636" priority="110">
      <formula>$C$42=6</formula>
    </cfRule>
  </conditionalFormatting>
  <conditionalFormatting sqref="P14:S18">
    <cfRule type="expression" dxfId="635" priority="109">
      <formula>$C$42=1</formula>
    </cfRule>
  </conditionalFormatting>
  <conditionalFormatting sqref="S19">
    <cfRule type="expression" dxfId="634" priority="108">
      <formula>$C$26=5</formula>
    </cfRule>
  </conditionalFormatting>
  <conditionalFormatting sqref="R19:S19 P19">
    <cfRule type="expression" dxfId="633" priority="107">
      <formula>$C$42=6</formula>
    </cfRule>
  </conditionalFormatting>
  <conditionalFormatting sqref="P23:Q23">
    <cfRule type="expression" dxfId="632" priority="106">
      <formula>$C$42=1</formula>
    </cfRule>
  </conditionalFormatting>
  <conditionalFormatting sqref="P24:Q24">
    <cfRule type="expression" dxfId="631" priority="105">
      <formula>$C$42=2</formula>
    </cfRule>
  </conditionalFormatting>
  <conditionalFormatting sqref="P25:Q25">
    <cfRule type="expression" dxfId="630" priority="104">
      <formula>$C$42=3</formula>
    </cfRule>
  </conditionalFormatting>
  <conditionalFormatting sqref="P26:Q26">
    <cfRule type="expression" dxfId="629" priority="103">
      <formula>$C$42=4</formula>
    </cfRule>
  </conditionalFormatting>
  <conditionalFormatting sqref="P27:Q27">
    <cfRule type="expression" dxfId="628" priority="102">
      <formula>$C$42=5</formula>
    </cfRule>
  </conditionalFormatting>
  <conditionalFormatting sqref="P28">
    <cfRule type="expression" dxfId="627" priority="101">
      <formula>$C$42=6</formula>
    </cfRule>
  </conditionalFormatting>
  <conditionalFormatting sqref="R23">
    <cfRule type="expression" dxfId="626" priority="100">
      <formula>$C$42=1</formula>
    </cfRule>
  </conditionalFormatting>
  <conditionalFormatting sqref="R24">
    <cfRule type="expression" dxfId="625" priority="99">
      <formula>$C$42=2</formula>
    </cfRule>
  </conditionalFormatting>
  <conditionalFormatting sqref="R25">
    <cfRule type="expression" dxfId="624" priority="98">
      <formula>$C$42=3</formula>
    </cfRule>
  </conditionalFormatting>
  <conditionalFormatting sqref="R26">
    <cfRule type="expression" dxfId="623" priority="97">
      <formula>$C$42=4</formula>
    </cfRule>
  </conditionalFormatting>
  <conditionalFormatting sqref="R27">
    <cfRule type="expression" dxfId="622" priority="96">
      <formula>$C$42=5</formula>
    </cfRule>
  </conditionalFormatting>
  <conditionalFormatting sqref="R28">
    <cfRule type="expression" dxfId="621" priority="95">
      <formula>$C$42=6</formula>
    </cfRule>
  </conditionalFormatting>
  <conditionalFormatting sqref="S23">
    <cfRule type="expression" dxfId="620" priority="94">
      <formula>$C$42=1</formula>
    </cfRule>
  </conditionalFormatting>
  <conditionalFormatting sqref="S25">
    <cfRule type="expression" dxfId="619" priority="93">
      <formula>$C$42=3</formula>
    </cfRule>
  </conditionalFormatting>
  <conditionalFormatting sqref="S27">
    <cfRule type="expression" dxfId="618" priority="92">
      <formula>$C$42=5</formula>
    </cfRule>
  </conditionalFormatting>
  <conditionalFormatting sqref="S24">
    <cfRule type="expression" dxfId="617" priority="91">
      <formula>$C$42=2</formula>
    </cfRule>
  </conditionalFormatting>
  <conditionalFormatting sqref="S27:S28">
    <cfRule type="expression" dxfId="616" priority="90">
      <formula>$C$26=5</formula>
    </cfRule>
  </conditionalFormatting>
  <conditionalFormatting sqref="S26">
    <cfRule type="expression" dxfId="615" priority="89">
      <formula>$C$42=4</formula>
    </cfRule>
  </conditionalFormatting>
  <conditionalFormatting sqref="S28">
    <cfRule type="expression" dxfId="614" priority="88">
      <formula>$C$42=6</formula>
    </cfRule>
  </conditionalFormatting>
  <conditionalFormatting sqref="P32:S32">
    <cfRule type="expression" dxfId="613" priority="87">
      <formula>$C$42=1</formula>
    </cfRule>
  </conditionalFormatting>
  <conditionalFormatting sqref="P34:S35">
    <cfRule type="expression" dxfId="612" priority="86">
      <formula>$C$42=3</formula>
    </cfRule>
  </conditionalFormatting>
  <conditionalFormatting sqref="P36:S36">
    <cfRule type="expression" dxfId="611" priority="85">
      <formula>$C$42=5</formula>
    </cfRule>
  </conditionalFormatting>
  <conditionalFormatting sqref="P33:S33">
    <cfRule type="expression" dxfId="610" priority="84">
      <formula>$C$42=2</formula>
    </cfRule>
  </conditionalFormatting>
  <conditionalFormatting sqref="S36:S37">
    <cfRule type="expression" dxfId="609" priority="83">
      <formula>$C$26=5</formula>
    </cfRule>
  </conditionalFormatting>
  <conditionalFormatting sqref="R37:S37 P37">
    <cfRule type="expression" dxfId="608" priority="82">
      <formula>$C$42=6</formula>
    </cfRule>
  </conditionalFormatting>
  <conditionalFormatting sqref="K23">
    <cfRule type="expression" dxfId="607" priority="80">
      <formula>$C$26=1</formula>
    </cfRule>
  </conditionalFormatting>
  <conditionalFormatting sqref="K25">
    <cfRule type="expression" dxfId="606" priority="79">
      <formula>$C$26=3</formula>
    </cfRule>
  </conditionalFormatting>
  <conditionalFormatting sqref="K27">
    <cfRule type="expression" dxfId="605" priority="78">
      <formula>$C$26=5</formula>
    </cfRule>
  </conditionalFormatting>
  <conditionalFormatting sqref="K28">
    <cfRule type="expression" dxfId="604" priority="77">
      <formula>$C$26=6</formula>
    </cfRule>
  </conditionalFormatting>
  <conditionalFormatting sqref="K24">
    <cfRule type="expression" dxfId="603" priority="76">
      <formula>$C$26=2</formula>
    </cfRule>
  </conditionalFormatting>
  <conditionalFormatting sqref="K26">
    <cfRule type="expression" dxfId="602" priority="75">
      <formula>$C$26=4</formula>
    </cfRule>
  </conditionalFormatting>
  <conditionalFormatting sqref="L23:N23 L24:L27">
    <cfRule type="expression" dxfId="601" priority="74">
      <formula>$C$26=1</formula>
    </cfRule>
  </conditionalFormatting>
  <conditionalFormatting sqref="M27:N27">
    <cfRule type="expression" dxfId="600" priority="73">
      <formula>$C$26=5</formula>
    </cfRule>
  </conditionalFormatting>
  <conditionalFormatting sqref="M28">
    <cfRule type="expression" dxfId="599" priority="72">
      <formula>$C$26=6</formula>
    </cfRule>
  </conditionalFormatting>
  <conditionalFormatting sqref="N24:N26">
    <cfRule type="expression" dxfId="598" priority="71">
      <formula>$C$26=2</formula>
    </cfRule>
  </conditionalFormatting>
  <conditionalFormatting sqref="M24">
    <cfRule type="expression" dxfId="597" priority="70">
      <formula>$C$26=1</formula>
    </cfRule>
  </conditionalFormatting>
  <conditionalFormatting sqref="M25">
    <cfRule type="expression" dxfId="596" priority="69">
      <formula>$C$26=1</formula>
    </cfRule>
  </conditionalFormatting>
  <conditionalFormatting sqref="M26">
    <cfRule type="expression" dxfId="595" priority="68">
      <formula>$C$26=1</formula>
    </cfRule>
  </conditionalFormatting>
  <conditionalFormatting sqref="K14:N14 L15:L18">
    <cfRule type="expression" dxfId="594" priority="67">
      <formula>$C$26=1</formula>
    </cfRule>
  </conditionalFormatting>
  <conditionalFormatting sqref="K16 N16">
    <cfRule type="expression" dxfId="593" priority="66">
      <formula>$C$26=3</formula>
    </cfRule>
  </conditionalFormatting>
  <conditionalFormatting sqref="K18 M18:N18">
    <cfRule type="expression" dxfId="592" priority="65">
      <formula>$C$26=5</formula>
    </cfRule>
  </conditionalFormatting>
  <conditionalFormatting sqref="M19 K19">
    <cfRule type="expression" dxfId="591" priority="64">
      <formula>$C$26=6</formula>
    </cfRule>
  </conditionalFormatting>
  <conditionalFormatting sqref="K15 N15">
    <cfRule type="expression" dxfId="590" priority="63">
      <formula>$C$26=2</formula>
    </cfRule>
  </conditionalFormatting>
  <conditionalFormatting sqref="K17 N17">
    <cfRule type="expression" dxfId="589" priority="62">
      <formula>$C$26=4</formula>
    </cfRule>
  </conditionalFormatting>
  <conditionalFormatting sqref="M15">
    <cfRule type="expression" dxfId="588" priority="61">
      <formula>$C$26=1</formula>
    </cfRule>
  </conditionalFormatting>
  <conditionalFormatting sqref="M16">
    <cfRule type="expression" dxfId="587" priority="60">
      <formula>$C$26=1</formula>
    </cfRule>
  </conditionalFormatting>
  <conditionalFormatting sqref="M17">
    <cfRule type="expression" dxfId="586" priority="59">
      <formula>$C$26=1</formula>
    </cfRule>
  </conditionalFormatting>
  <conditionalFormatting sqref="K5:N5 L6:L9">
    <cfRule type="expression" dxfId="585" priority="58">
      <formula>$C$26=1</formula>
    </cfRule>
  </conditionalFormatting>
  <conditionalFormatting sqref="K7">
    <cfRule type="expression" dxfId="584" priority="57">
      <formula>$C$26=3</formula>
    </cfRule>
  </conditionalFormatting>
  <conditionalFormatting sqref="K9 N9">
    <cfRule type="expression" dxfId="583" priority="56">
      <formula>$C$26=5</formula>
    </cfRule>
  </conditionalFormatting>
  <conditionalFormatting sqref="M10 K10">
    <cfRule type="expression" dxfId="582" priority="55">
      <formula>$C$26=6</formula>
    </cfRule>
  </conditionalFormatting>
  <conditionalFormatting sqref="K6">
    <cfRule type="expression" dxfId="581" priority="54">
      <formula>$C$26=2</formula>
    </cfRule>
  </conditionalFormatting>
  <conditionalFormatting sqref="K8">
    <cfRule type="expression" dxfId="580" priority="53">
      <formula>$C$26=4</formula>
    </cfRule>
  </conditionalFormatting>
  <conditionalFormatting sqref="M6">
    <cfRule type="expression" dxfId="579" priority="52">
      <formula>$C$26=1</formula>
    </cfRule>
  </conditionalFormatting>
  <conditionalFormatting sqref="M7">
    <cfRule type="expression" dxfId="578" priority="51">
      <formula>$C$26=1</formula>
    </cfRule>
  </conditionalFormatting>
  <conditionalFormatting sqref="M8">
    <cfRule type="expression" dxfId="577" priority="50">
      <formula>$C$26=1</formula>
    </cfRule>
  </conditionalFormatting>
  <conditionalFormatting sqref="N6">
    <cfRule type="expression" dxfId="576" priority="49">
      <formula>$C$26=1</formula>
    </cfRule>
  </conditionalFormatting>
  <conditionalFormatting sqref="N7">
    <cfRule type="expression" dxfId="575" priority="48">
      <formula>$C$26=1</formula>
    </cfRule>
  </conditionalFormatting>
  <conditionalFormatting sqref="N8">
    <cfRule type="expression" dxfId="574" priority="47">
      <formula>$C$26=1</formula>
    </cfRule>
  </conditionalFormatting>
  <conditionalFormatting sqref="M37 K37">
    <cfRule type="expression" dxfId="573" priority="46">
      <formula>$C$26=6</formula>
    </cfRule>
  </conditionalFormatting>
  <conditionalFormatting sqref="B41">
    <cfRule type="expression" dxfId="572" priority="45">
      <formula>#REF!=1</formula>
    </cfRule>
  </conditionalFormatting>
  <conditionalFormatting sqref="B42">
    <cfRule type="expression" dxfId="571" priority="44">
      <formula>#REF!=2</formula>
    </cfRule>
  </conditionalFormatting>
  <conditionalFormatting sqref="B43">
    <cfRule type="expression" dxfId="570" priority="43">
      <formula>#REF!=3</formula>
    </cfRule>
  </conditionalFormatting>
  <conditionalFormatting sqref="B44">
    <cfRule type="expression" dxfId="569" priority="42">
      <formula>#REF!=4</formula>
    </cfRule>
  </conditionalFormatting>
  <conditionalFormatting sqref="B45">
    <cfRule type="expression" dxfId="568" priority="41">
      <formula>#REF!=5</formula>
    </cfRule>
  </conditionalFormatting>
  <conditionalFormatting sqref="B46">
    <cfRule type="expression" dxfId="567" priority="40">
      <formula>#REF!=6</formula>
    </cfRule>
  </conditionalFormatting>
  <conditionalFormatting sqref="D40">
    <cfRule type="expression" dxfId="566" priority="39">
      <formula>#REF!&gt;0</formula>
    </cfRule>
  </conditionalFormatting>
  <conditionalFormatting sqref="E40">
    <cfRule type="expression" dxfId="565" priority="38">
      <formula>#REF!&gt;0</formula>
    </cfRule>
  </conditionalFormatting>
  <conditionalFormatting sqref="G40">
    <cfRule type="expression" dxfId="564" priority="37">
      <formula>#REF!&gt;0</formula>
    </cfRule>
  </conditionalFormatting>
  <conditionalFormatting sqref="H40">
    <cfRule type="expression" dxfId="563" priority="36">
      <formula>#REF!&gt;0</formula>
    </cfRule>
  </conditionalFormatting>
  <conditionalFormatting sqref="M40">
    <cfRule type="expression" dxfId="562" priority="35">
      <formula>AND($F$29=$G$26,$K$26&gt;=130)</formula>
    </cfRule>
  </conditionalFormatting>
  <conditionalFormatting sqref="N40">
    <cfRule type="expression" dxfId="561" priority="34">
      <formula>AND($G$29=$G$26,$K$26&gt;=130)</formula>
    </cfRule>
  </conditionalFormatting>
  <conditionalFormatting sqref="O40">
    <cfRule type="expression" dxfId="560" priority="33">
      <formula>AND($H$29=$G$26,$K$26&gt;=130)</formula>
    </cfRule>
  </conditionalFormatting>
  <conditionalFormatting sqref="S40">
    <cfRule type="expression" dxfId="559" priority="32">
      <formula>$J$45&gt;0</formula>
    </cfRule>
  </conditionalFormatting>
  <conditionalFormatting sqref="R40">
    <cfRule type="expression" dxfId="558" priority="31">
      <formula>$J$42&gt;0</formula>
    </cfRule>
  </conditionalFormatting>
  <conditionalFormatting sqref="C41:E41 C42:C45 E42:E44">
    <cfRule type="expression" dxfId="557" priority="30">
      <formula>#REF!=1</formula>
    </cfRule>
  </conditionalFormatting>
  <conditionalFormatting sqref="D42">
    <cfRule type="expression" dxfId="556" priority="29">
      <formula>#REF!=2</formula>
    </cfRule>
  </conditionalFormatting>
  <conditionalFormatting sqref="D43">
    <cfRule type="expression" dxfId="555" priority="28">
      <formula>#REF!=3</formula>
    </cfRule>
  </conditionalFormatting>
  <conditionalFormatting sqref="D44">
    <cfRule type="expression" dxfId="554" priority="27">
      <formula>#REF!=4</formula>
    </cfRule>
  </conditionalFormatting>
  <conditionalFormatting sqref="D45:E45">
    <cfRule type="expression" dxfId="553" priority="26">
      <formula>#REF!=5</formula>
    </cfRule>
  </conditionalFormatting>
  <conditionalFormatting sqref="C46:D46">
    <cfRule type="expression" dxfId="552" priority="25">
      <formula>#REF!=6</formula>
    </cfRule>
  </conditionalFormatting>
  <conditionalFormatting sqref="F41:H41 H42:H44">
    <cfRule type="expression" dxfId="551" priority="24">
      <formula>#REF!=1</formula>
    </cfRule>
  </conditionalFormatting>
  <conditionalFormatting sqref="F42:G42">
    <cfRule type="expression" dxfId="550" priority="23">
      <formula>#REF!=2</formula>
    </cfRule>
  </conditionalFormatting>
  <conditionalFormatting sqref="F43:G43">
    <cfRule type="expression" dxfId="549" priority="22">
      <formula>#REF!=3</formula>
    </cfRule>
  </conditionalFormatting>
  <conditionalFormatting sqref="F44:G44">
    <cfRule type="expression" dxfId="548" priority="21">
      <formula>#REF!=4</formula>
    </cfRule>
  </conditionalFormatting>
  <conditionalFormatting sqref="F45:H45">
    <cfRule type="expression" dxfId="547" priority="20">
      <formula>#REF!=5</formula>
    </cfRule>
  </conditionalFormatting>
  <conditionalFormatting sqref="F46:G46">
    <cfRule type="expression" dxfId="546" priority="19">
      <formula>#REF!=6</formula>
    </cfRule>
  </conditionalFormatting>
  <conditionalFormatting sqref="H46">
    <cfRule type="expression" dxfId="545" priority="18">
      <formula>#REF!=6</formula>
    </cfRule>
  </conditionalFormatting>
  <conditionalFormatting sqref="E46">
    <cfRule type="expression" dxfId="544" priority="17">
      <formula>#REF!=6</formula>
    </cfRule>
  </conditionalFormatting>
  <conditionalFormatting sqref="V46 T41 T46">
    <cfRule type="expression" dxfId="543" priority="10">
      <formula>$C$58=1</formula>
    </cfRule>
  </conditionalFormatting>
  <conditionalFormatting sqref="V45">
    <cfRule type="expression" dxfId="542" priority="9">
      <formula>$C$58=1</formula>
    </cfRule>
  </conditionalFormatting>
  <conditionalFormatting sqref="T42:T45">
    <cfRule type="expression" dxfId="541" priority="8">
      <formula>$C$58=1</formula>
    </cfRule>
  </conditionalFormatting>
  <conditionalFormatting sqref="V41:V44">
    <cfRule type="expression" dxfId="540" priority="7">
      <formula>$C$58=1</formula>
    </cfRule>
  </conditionalFormatting>
  <conditionalFormatting sqref="M46 K46">
    <cfRule type="expression" dxfId="539" priority="6">
      <formula>$C$26=6</formula>
    </cfRule>
  </conditionalFormatting>
  <conditionalFormatting sqref="P41:Q41">
    <cfRule type="expression" dxfId="538" priority="5">
      <formula>$C$42=1</formula>
    </cfRule>
  </conditionalFormatting>
  <conditionalFormatting sqref="P43:Q44">
    <cfRule type="expression" dxfId="537" priority="4">
      <formula>$C$42=3</formula>
    </cfRule>
  </conditionalFormatting>
  <conditionalFormatting sqref="P45:Q45">
    <cfRule type="expression" dxfId="536" priority="3">
      <formula>$C$42=5</formula>
    </cfRule>
  </conditionalFormatting>
  <conditionalFormatting sqref="P42:Q42">
    <cfRule type="expression" dxfId="535" priority="2">
      <formula>$C$42=2</formula>
    </cfRule>
  </conditionalFormatting>
  <conditionalFormatting sqref="P46">
    <cfRule type="expression" dxfId="534" priority="1">
      <formula>$C$42=6</formula>
    </cfRule>
  </conditionalFormatting>
  <hyperlinks>
    <hyperlink ref="A49" r:id="rId1" xr:uid="{00000000-0004-0000-0700-000000000000}"/>
    <hyperlink ref="AD3" r:id="rId2" xr:uid="{00000000-0004-0000-0700-000001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D53"/>
  <sheetViews>
    <sheetView topLeftCell="G34" zoomScaleNormal="100" workbookViewId="0">
      <selection activeCell="S46" sqref="P41:S47"/>
    </sheetView>
  </sheetViews>
  <sheetFormatPr baseColWidth="10" defaultRowHeight="15" x14ac:dyDescent="0.25"/>
  <cols>
    <col min="2" max="2" width="18" customWidth="1"/>
  </cols>
  <sheetData>
    <row r="1" spans="1:30" ht="26.25" thickBot="1" x14ac:dyDescent="0.3">
      <c r="A1" s="511" t="s">
        <v>114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179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1" t="s">
        <v>6</v>
      </c>
      <c r="H3" s="501"/>
      <c r="I3" s="501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125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189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2491.0500000000002</v>
      </c>
      <c r="D5" s="1">
        <v>483.68</v>
      </c>
      <c r="E5" s="1">
        <v>1612.27</v>
      </c>
      <c r="F5" s="1">
        <v>1337.28</v>
      </c>
      <c r="G5" s="1">
        <v>510.71</v>
      </c>
      <c r="H5" s="199">
        <v>1702.36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199">
        <v>5.1799999999999997E-3</v>
      </c>
      <c r="U5" s="200"/>
      <c r="V5" s="199">
        <v>2.5899999999999999E-3</v>
      </c>
      <c r="W5" s="200"/>
      <c r="X5" s="58">
        <v>-0.3</v>
      </c>
      <c r="Y5" s="341">
        <v>8046</v>
      </c>
      <c r="Z5" s="341"/>
      <c r="AA5" s="341">
        <v>110702</v>
      </c>
      <c r="AB5" s="341"/>
    </row>
    <row r="6" spans="1:30" ht="15.75" thickBot="1" x14ac:dyDescent="0.3">
      <c r="A6" s="491"/>
      <c r="B6" s="14" t="s">
        <v>21</v>
      </c>
      <c r="C6" s="39">
        <v>4982.09</v>
      </c>
      <c r="D6" s="10">
        <v>967.36</v>
      </c>
      <c r="E6" s="1">
        <v>1612.27</v>
      </c>
      <c r="F6" s="1">
        <v>2674.55</v>
      </c>
      <c r="G6" s="1">
        <v>1021.42</v>
      </c>
      <c r="H6" s="199">
        <v>1703.36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199">
        <v>7.1199999999999996E-3</v>
      </c>
      <c r="U6" s="200"/>
      <c r="V6" s="199">
        <v>3.2399999999999998E-3</v>
      </c>
      <c r="W6" s="200"/>
      <c r="X6" s="58">
        <v>-0.24</v>
      </c>
      <c r="Y6" s="341">
        <v>1513</v>
      </c>
      <c r="Z6" s="341"/>
      <c r="AA6" s="341">
        <v>26669</v>
      </c>
      <c r="AB6" s="341"/>
    </row>
    <row r="7" spans="1:30" ht="15.75" thickBot="1" x14ac:dyDescent="0.3">
      <c r="A7" s="491"/>
      <c r="B7" s="14" t="s">
        <v>24</v>
      </c>
      <c r="C7" s="39">
        <v>7057.97</v>
      </c>
      <c r="D7" s="1">
        <v>1370.43</v>
      </c>
      <c r="E7" s="1">
        <v>1612.27</v>
      </c>
      <c r="F7" s="1">
        <v>3788.95</v>
      </c>
      <c r="G7" s="1">
        <v>1447.01</v>
      </c>
      <c r="H7" s="199">
        <v>1704.36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199">
        <v>1.1650000000000001E-2</v>
      </c>
      <c r="U7" s="200"/>
      <c r="V7" s="199">
        <v>8.09E-3</v>
      </c>
      <c r="W7" s="200"/>
      <c r="X7" s="58">
        <v>-0.09</v>
      </c>
      <c r="Y7" s="341">
        <v>0</v>
      </c>
      <c r="Z7" s="341"/>
      <c r="AA7" s="341">
        <v>3051</v>
      </c>
      <c r="AB7" s="341"/>
    </row>
    <row r="8" spans="1:30" ht="15.75" thickBot="1" x14ac:dyDescent="0.3">
      <c r="A8" s="491"/>
      <c r="B8" s="14" t="s">
        <v>22</v>
      </c>
      <c r="C8" s="39">
        <v>8303.49</v>
      </c>
      <c r="D8" s="1">
        <v>1612.27</v>
      </c>
      <c r="E8" s="1">
        <v>1612.27</v>
      </c>
      <c r="F8" s="1">
        <v>4457.59</v>
      </c>
      <c r="G8" s="1">
        <v>1702.36</v>
      </c>
      <c r="H8" s="199">
        <v>1705.36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199">
        <v>2.4129999999999999E-2</v>
      </c>
      <c r="U8" s="200"/>
      <c r="V8" s="199">
        <v>4.5310000000000003E-2</v>
      </c>
      <c r="W8" s="200"/>
      <c r="X8" s="58">
        <v>0</v>
      </c>
      <c r="Y8" s="296">
        <v>9560</v>
      </c>
      <c r="Z8" s="297"/>
      <c r="AA8" s="296">
        <v>140423</v>
      </c>
      <c r="AB8" s="297"/>
    </row>
    <row r="9" spans="1:30" ht="15.75" thickBot="1" x14ac:dyDescent="0.3">
      <c r="A9" s="491"/>
      <c r="B9" s="21" t="s">
        <v>23</v>
      </c>
      <c r="C9" s="39">
        <v>12455.24</v>
      </c>
      <c r="D9" s="22">
        <v>2418.41</v>
      </c>
      <c r="E9" s="22">
        <v>2418.41</v>
      </c>
      <c r="F9" s="22">
        <v>6686.39</v>
      </c>
      <c r="G9" s="22">
        <v>2553.54</v>
      </c>
      <c r="H9" s="308">
        <v>2553.54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199">
        <v>4.1360000000000001E-2</v>
      </c>
      <c r="U9" s="200"/>
      <c r="V9" s="199">
        <v>6.9580000000000003E-2</v>
      </c>
      <c r="W9" s="200"/>
      <c r="X9" s="58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13285.58</v>
      </c>
      <c r="D10" s="215">
        <v>2579.63</v>
      </c>
      <c r="E10" s="215">
        <v>2579.63</v>
      </c>
      <c r="F10" s="215">
        <v>7132.14</v>
      </c>
      <c r="G10" s="215">
        <v>2723.78</v>
      </c>
      <c r="H10" s="207">
        <v>2723.78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4.4810000000000003E-2</v>
      </c>
      <c r="U10" s="297"/>
      <c r="V10" s="296">
        <v>7.6050000000000006E-2</v>
      </c>
      <c r="W10" s="297"/>
      <c r="X10" s="215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98"/>
      <c r="W11" s="299"/>
      <c r="X11" s="216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125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2491.0500000000002</v>
      </c>
      <c r="D14" s="1">
        <v>483.68</v>
      </c>
      <c r="E14" s="1">
        <v>1612.27</v>
      </c>
      <c r="F14" s="1">
        <v>1337.28</v>
      </c>
      <c r="G14" s="1">
        <v>510.71</v>
      </c>
      <c r="H14" s="199">
        <v>1702.36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199">
        <v>5.1799999999999997E-3</v>
      </c>
      <c r="U14" s="200"/>
      <c r="V14" s="199">
        <v>2.5899999999999999E-3</v>
      </c>
      <c r="W14" s="200"/>
      <c r="X14" s="58">
        <v>-0.3</v>
      </c>
      <c r="Y14" s="341">
        <v>8046</v>
      </c>
      <c r="Z14" s="341"/>
      <c r="AA14" s="341">
        <v>110702</v>
      </c>
      <c r="AB14" s="341"/>
    </row>
    <row r="15" spans="1:30" ht="15.75" thickBot="1" x14ac:dyDescent="0.3">
      <c r="A15" s="491"/>
      <c r="B15" s="14" t="s">
        <v>21</v>
      </c>
      <c r="C15" s="39">
        <v>4982.09</v>
      </c>
      <c r="D15" s="10">
        <v>967.36</v>
      </c>
      <c r="E15" s="1">
        <v>1612.27</v>
      </c>
      <c r="F15" s="1">
        <v>2674.55</v>
      </c>
      <c r="G15" s="1">
        <v>1021.42</v>
      </c>
      <c r="H15" s="199">
        <v>1703.36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199">
        <v>7.1199999999999996E-3</v>
      </c>
      <c r="U15" s="200"/>
      <c r="V15" s="199">
        <v>3.2399999999999998E-3</v>
      </c>
      <c r="W15" s="200"/>
      <c r="X15" s="58">
        <v>-0.24</v>
      </c>
      <c r="Y15" s="341">
        <v>1513</v>
      </c>
      <c r="Z15" s="341"/>
      <c r="AA15" s="341">
        <v>26669</v>
      </c>
      <c r="AB15" s="341"/>
    </row>
    <row r="16" spans="1:30" ht="15.75" thickBot="1" x14ac:dyDescent="0.3">
      <c r="A16" s="491"/>
      <c r="B16" s="14" t="s">
        <v>24</v>
      </c>
      <c r="C16" s="39">
        <v>7057.97</v>
      </c>
      <c r="D16" s="1">
        <v>1370.43</v>
      </c>
      <c r="E16" s="1">
        <v>1612.27</v>
      </c>
      <c r="F16" s="1">
        <v>3788.95</v>
      </c>
      <c r="G16" s="1">
        <v>1447.01</v>
      </c>
      <c r="H16" s="199">
        <v>1704.36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199">
        <v>1.1650000000000001E-2</v>
      </c>
      <c r="U16" s="200"/>
      <c r="V16" s="199">
        <v>8.09E-3</v>
      </c>
      <c r="W16" s="200"/>
      <c r="X16" s="58">
        <v>-0.09</v>
      </c>
      <c r="Y16" s="341">
        <v>0</v>
      </c>
      <c r="Z16" s="341"/>
      <c r="AA16" s="341">
        <v>3051</v>
      </c>
      <c r="AB16" s="341"/>
    </row>
    <row r="17" spans="1:28" ht="15.75" thickBot="1" x14ac:dyDescent="0.3">
      <c r="A17" s="491"/>
      <c r="B17" s="14" t="s">
        <v>22</v>
      </c>
      <c r="C17" s="39">
        <v>8303.49</v>
      </c>
      <c r="D17" s="1">
        <v>1612.27</v>
      </c>
      <c r="E17" s="1">
        <v>1612.27</v>
      </c>
      <c r="F17" s="1">
        <v>4457.59</v>
      </c>
      <c r="G17" s="1">
        <v>1702.36</v>
      </c>
      <c r="H17" s="199">
        <v>1705.36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199">
        <v>2.4129999999999999E-2</v>
      </c>
      <c r="U17" s="200"/>
      <c r="V17" s="199">
        <v>4.5310000000000003E-2</v>
      </c>
      <c r="W17" s="200"/>
      <c r="X17" s="58">
        <v>0</v>
      </c>
      <c r="Y17" s="296">
        <v>9560</v>
      </c>
      <c r="Z17" s="297"/>
      <c r="AA17" s="296">
        <v>140423</v>
      </c>
      <c r="AB17" s="297"/>
    </row>
    <row r="18" spans="1:28" ht="15.75" thickBot="1" x14ac:dyDescent="0.3">
      <c r="A18" s="491"/>
      <c r="B18" s="21" t="s">
        <v>23</v>
      </c>
      <c r="C18" s="39">
        <v>12455.24</v>
      </c>
      <c r="D18" s="22">
        <v>2418.41</v>
      </c>
      <c r="E18" s="22">
        <v>2418.41</v>
      </c>
      <c r="F18" s="22">
        <v>6686.39</v>
      </c>
      <c r="G18" s="22">
        <v>2553.54</v>
      </c>
      <c r="H18" s="308">
        <v>2553.54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199">
        <v>4.1360000000000001E-2</v>
      </c>
      <c r="U18" s="200"/>
      <c r="V18" s="199">
        <v>6.9580000000000003E-2</v>
      </c>
      <c r="W18" s="200"/>
      <c r="X18" s="58">
        <v>0.5</v>
      </c>
      <c r="Y18" s="519"/>
      <c r="Z18" s="520"/>
      <c r="AA18" s="519"/>
      <c r="AB18" s="520"/>
    </row>
    <row r="19" spans="1:28" x14ac:dyDescent="0.25">
      <c r="A19" s="491"/>
      <c r="B19" s="351" t="s">
        <v>26</v>
      </c>
      <c r="C19" s="215">
        <v>13285.58</v>
      </c>
      <c r="D19" s="215">
        <v>2579.63</v>
      </c>
      <c r="E19" s="215">
        <v>2579.63</v>
      </c>
      <c r="F19" s="215">
        <v>7132.14</v>
      </c>
      <c r="G19" s="215">
        <v>2723.78</v>
      </c>
      <c r="H19" s="207">
        <v>2723.78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4.4810000000000003E-2</v>
      </c>
      <c r="U19" s="297"/>
      <c r="V19" s="296">
        <v>7.6050000000000006E-2</v>
      </c>
      <c r="W19" s="297"/>
      <c r="X19" s="215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98"/>
      <c r="W20" s="299"/>
      <c r="X20" s="216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125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2491.0500000000002</v>
      </c>
      <c r="D23" s="1">
        <v>483.68</v>
      </c>
      <c r="E23" s="1">
        <v>1612.27</v>
      </c>
      <c r="F23" s="1">
        <v>1337.28</v>
      </c>
      <c r="G23" s="1">
        <v>510.71</v>
      </c>
      <c r="H23" s="199">
        <v>1702.36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199">
        <v>5.1799999999999997E-3</v>
      </c>
      <c r="U23" s="200"/>
      <c r="V23" s="199">
        <v>2.5899999999999999E-3</v>
      </c>
      <c r="W23" s="200"/>
      <c r="X23" s="58">
        <v>-0.3</v>
      </c>
      <c r="Y23" s="341">
        <v>8046</v>
      </c>
      <c r="Z23" s="341"/>
      <c r="AA23" s="341">
        <v>110702</v>
      </c>
      <c r="AB23" s="341"/>
    </row>
    <row r="24" spans="1:28" ht="15.75" thickBot="1" x14ac:dyDescent="0.3">
      <c r="A24" s="491"/>
      <c r="B24" s="14" t="s">
        <v>21</v>
      </c>
      <c r="C24" s="39">
        <v>4982.09</v>
      </c>
      <c r="D24" s="10">
        <v>967.36</v>
      </c>
      <c r="E24" s="1">
        <v>1612.27</v>
      </c>
      <c r="F24" s="1">
        <v>2674.55</v>
      </c>
      <c r="G24" s="1">
        <v>1021.42</v>
      </c>
      <c r="H24" s="199">
        <v>1703.36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199">
        <v>7.1199999999999996E-3</v>
      </c>
      <c r="U24" s="200"/>
      <c r="V24" s="199">
        <v>3.2399999999999998E-3</v>
      </c>
      <c r="W24" s="200"/>
      <c r="X24" s="58">
        <v>-0.24</v>
      </c>
      <c r="Y24" s="341">
        <v>1513</v>
      </c>
      <c r="Z24" s="341"/>
      <c r="AA24" s="341">
        <v>26669</v>
      </c>
      <c r="AB24" s="341"/>
    </row>
    <row r="25" spans="1:28" ht="15.75" thickBot="1" x14ac:dyDescent="0.3">
      <c r="A25" s="491"/>
      <c r="B25" s="14" t="s">
        <v>24</v>
      </c>
      <c r="C25" s="39">
        <v>7057.97</v>
      </c>
      <c r="D25" s="1">
        <v>1370.43</v>
      </c>
      <c r="E25" s="1">
        <v>1612.27</v>
      </c>
      <c r="F25" s="1">
        <v>3788.95</v>
      </c>
      <c r="G25" s="1">
        <v>1447.01</v>
      </c>
      <c r="H25" s="199">
        <v>1704.36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199">
        <v>1.1650000000000001E-2</v>
      </c>
      <c r="U25" s="200"/>
      <c r="V25" s="199">
        <v>8.09E-3</v>
      </c>
      <c r="W25" s="200"/>
      <c r="X25" s="58">
        <v>-0.09</v>
      </c>
      <c r="Y25" s="341">
        <v>0</v>
      </c>
      <c r="Z25" s="341"/>
      <c r="AA25" s="341">
        <v>3051</v>
      </c>
      <c r="AB25" s="341"/>
    </row>
    <row r="26" spans="1:28" ht="15.75" thickBot="1" x14ac:dyDescent="0.3">
      <c r="A26" s="491"/>
      <c r="B26" s="14" t="s">
        <v>22</v>
      </c>
      <c r="C26" s="39">
        <v>8303.49</v>
      </c>
      <c r="D26" s="1">
        <v>1612.27</v>
      </c>
      <c r="E26" s="1">
        <v>1612.27</v>
      </c>
      <c r="F26" s="1">
        <v>4457.59</v>
      </c>
      <c r="G26" s="1">
        <v>1702.36</v>
      </c>
      <c r="H26" s="199">
        <v>1705.36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199">
        <v>2.4129999999999999E-2</v>
      </c>
      <c r="U26" s="200"/>
      <c r="V26" s="199">
        <v>4.5310000000000003E-2</v>
      </c>
      <c r="W26" s="200"/>
      <c r="X26" s="58">
        <v>0</v>
      </c>
      <c r="Y26" s="296">
        <v>9560</v>
      </c>
      <c r="Z26" s="297"/>
      <c r="AA26" s="296">
        <v>140423</v>
      </c>
      <c r="AB26" s="297"/>
    </row>
    <row r="27" spans="1:28" ht="15.75" thickBot="1" x14ac:dyDescent="0.3">
      <c r="A27" s="491"/>
      <c r="B27" s="21" t="s">
        <v>23</v>
      </c>
      <c r="C27" s="39">
        <v>12455.24</v>
      </c>
      <c r="D27" s="22">
        <v>2418.41</v>
      </c>
      <c r="E27" s="22">
        <v>2418.41</v>
      </c>
      <c r="F27" s="22">
        <v>6686.39</v>
      </c>
      <c r="G27" s="22">
        <v>2553.54</v>
      </c>
      <c r="H27" s="308">
        <v>2553.54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199">
        <v>4.1360000000000001E-2</v>
      </c>
      <c r="U27" s="200"/>
      <c r="V27" s="199">
        <v>6.9580000000000003E-2</v>
      </c>
      <c r="W27" s="200"/>
      <c r="X27" s="58">
        <v>0.5</v>
      </c>
      <c r="Y27" s="519"/>
      <c r="Z27" s="520"/>
      <c r="AA27" s="519"/>
      <c r="AB27" s="520"/>
    </row>
    <row r="28" spans="1:28" x14ac:dyDescent="0.25">
      <c r="A28" s="491"/>
      <c r="B28" s="351" t="s">
        <v>26</v>
      </c>
      <c r="C28" s="215">
        <v>13285.58</v>
      </c>
      <c r="D28" s="215">
        <v>2579.63</v>
      </c>
      <c r="E28" s="215">
        <v>2579.63</v>
      </c>
      <c r="F28" s="215">
        <v>7132.14</v>
      </c>
      <c r="G28" s="215">
        <v>2723.78</v>
      </c>
      <c r="H28" s="207">
        <v>2723.78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4.4810000000000003E-2</v>
      </c>
      <c r="U28" s="297"/>
      <c r="V28" s="296">
        <v>7.6050000000000006E-2</v>
      </c>
      <c r="W28" s="297"/>
      <c r="X28" s="215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98"/>
      <c r="W29" s="299"/>
      <c r="X29" s="216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125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2491.0500000000002</v>
      </c>
      <c r="D32" s="1">
        <v>483.68</v>
      </c>
      <c r="E32" s="1">
        <v>1612.27</v>
      </c>
      <c r="F32" s="1">
        <v>1337.28</v>
      </c>
      <c r="G32" s="1">
        <v>510.71</v>
      </c>
      <c r="H32" s="199">
        <v>1702.36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199">
        <v>5.1799999999999997E-3</v>
      </c>
      <c r="U32" s="200"/>
      <c r="V32" s="199">
        <v>2.5899999999999999E-3</v>
      </c>
      <c r="W32" s="200"/>
      <c r="X32" s="58">
        <v>-0.3</v>
      </c>
      <c r="Y32" s="341">
        <v>8046</v>
      </c>
      <c r="Z32" s="341"/>
      <c r="AA32" s="341">
        <v>110702</v>
      </c>
      <c r="AB32" s="341"/>
    </row>
    <row r="33" spans="1:28" ht="15.75" thickBot="1" x14ac:dyDescent="0.3">
      <c r="A33" s="491"/>
      <c r="B33" s="14" t="s">
        <v>21</v>
      </c>
      <c r="C33" s="39">
        <v>4982.09</v>
      </c>
      <c r="D33" s="10">
        <v>967.36</v>
      </c>
      <c r="E33" s="1">
        <v>1612.27</v>
      </c>
      <c r="F33" s="1">
        <v>2674.55</v>
      </c>
      <c r="G33" s="1">
        <v>1021.42</v>
      </c>
      <c r="H33" s="199">
        <v>1703.36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199">
        <v>7.1199999999999996E-3</v>
      </c>
      <c r="U33" s="200"/>
      <c r="V33" s="199">
        <v>3.2399999999999998E-3</v>
      </c>
      <c r="W33" s="200"/>
      <c r="X33" s="58">
        <v>-0.24</v>
      </c>
      <c r="Y33" s="341">
        <v>1513</v>
      </c>
      <c r="Z33" s="341"/>
      <c r="AA33" s="341">
        <v>26669</v>
      </c>
      <c r="AB33" s="341"/>
    </row>
    <row r="34" spans="1:28" ht="15.75" thickBot="1" x14ac:dyDescent="0.3">
      <c r="A34" s="491"/>
      <c r="B34" s="14" t="s">
        <v>24</v>
      </c>
      <c r="C34" s="39">
        <v>7057.97</v>
      </c>
      <c r="D34" s="1">
        <v>1370.43</v>
      </c>
      <c r="E34" s="1">
        <v>1612.27</v>
      </c>
      <c r="F34" s="1">
        <v>3788.95</v>
      </c>
      <c r="G34" s="1">
        <v>1447.01</v>
      </c>
      <c r="H34" s="199">
        <v>1704.36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199">
        <v>1.1650000000000001E-2</v>
      </c>
      <c r="U34" s="200"/>
      <c r="V34" s="199">
        <v>8.09E-3</v>
      </c>
      <c r="W34" s="200"/>
      <c r="X34" s="58">
        <v>-0.09</v>
      </c>
      <c r="Y34" s="341">
        <v>0</v>
      </c>
      <c r="Z34" s="341"/>
      <c r="AA34" s="341">
        <v>3051</v>
      </c>
      <c r="AB34" s="341"/>
    </row>
    <row r="35" spans="1:28" ht="15.75" thickBot="1" x14ac:dyDescent="0.3">
      <c r="A35" s="491"/>
      <c r="B35" s="14" t="s">
        <v>22</v>
      </c>
      <c r="C35" s="39">
        <v>8303.49</v>
      </c>
      <c r="D35" s="1">
        <v>1612.27</v>
      </c>
      <c r="E35" s="1">
        <v>1612.27</v>
      </c>
      <c r="F35" s="1">
        <v>4457.59</v>
      </c>
      <c r="G35" s="1">
        <v>1702.36</v>
      </c>
      <c r="H35" s="199">
        <v>1705.36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199">
        <v>2.4129999999999999E-2</v>
      </c>
      <c r="U35" s="200"/>
      <c r="V35" s="199">
        <v>4.5310000000000003E-2</v>
      </c>
      <c r="W35" s="200"/>
      <c r="X35" s="58">
        <v>0</v>
      </c>
      <c r="Y35" s="296">
        <v>9560</v>
      </c>
      <c r="Z35" s="297"/>
      <c r="AA35" s="296">
        <v>140423</v>
      </c>
      <c r="AB35" s="297"/>
    </row>
    <row r="36" spans="1:28" ht="15.75" thickBot="1" x14ac:dyDescent="0.3">
      <c r="A36" s="491"/>
      <c r="B36" s="21" t="s">
        <v>23</v>
      </c>
      <c r="C36" s="39">
        <v>12455.24</v>
      </c>
      <c r="D36" s="22">
        <v>2418.41</v>
      </c>
      <c r="E36" s="22">
        <v>2418.41</v>
      </c>
      <c r="F36" s="22">
        <v>6686.39</v>
      </c>
      <c r="G36" s="22">
        <v>2553.54</v>
      </c>
      <c r="H36" s="308">
        <v>2553.54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199">
        <v>4.1360000000000001E-2</v>
      </c>
      <c r="U36" s="200"/>
      <c r="V36" s="199">
        <v>6.9580000000000003E-2</v>
      </c>
      <c r="W36" s="200"/>
      <c r="X36" s="58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13285.58</v>
      </c>
      <c r="D37" s="215">
        <v>2579.63</v>
      </c>
      <c r="E37" s="215">
        <v>2579.63</v>
      </c>
      <c r="F37" s="215">
        <v>7132.14</v>
      </c>
      <c r="G37" s="215">
        <v>2723.78</v>
      </c>
      <c r="H37" s="207">
        <v>2723.78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4.4810000000000003E-2</v>
      </c>
      <c r="U37" s="297"/>
      <c r="V37" s="296">
        <v>7.6050000000000006E-2</v>
      </c>
      <c r="W37" s="297"/>
      <c r="X37" s="215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98"/>
      <c r="W38" s="299"/>
      <c r="X38" s="216"/>
      <c r="Y38" s="298"/>
      <c r="Z38" s="299"/>
      <c r="AA38" s="298"/>
      <c r="AB38" s="299"/>
    </row>
    <row r="39" spans="1:28" ht="15" customHeight="1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  <row r="51" spans="1:1" x14ac:dyDescent="0.25">
      <c r="A51" t="s">
        <v>183</v>
      </c>
    </row>
    <row r="52" spans="1:1" x14ac:dyDescent="0.25">
      <c r="A52" s="57" t="s">
        <v>121</v>
      </c>
    </row>
    <row r="53" spans="1:1" x14ac:dyDescent="0.25">
      <c r="A53" t="s">
        <v>182</v>
      </c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Y35:Z38"/>
    <mergeCell ref="AA35:AB38"/>
    <mergeCell ref="X37:X38"/>
    <mergeCell ref="H4:I4"/>
    <mergeCell ref="G3:I3"/>
    <mergeCell ref="P8:Q8"/>
    <mergeCell ref="H9:I9"/>
    <mergeCell ref="P9:Q9"/>
    <mergeCell ref="V5:W5"/>
    <mergeCell ref="V6:W6"/>
    <mergeCell ref="V7:W7"/>
    <mergeCell ref="T3:W4"/>
    <mergeCell ref="T8:U8"/>
    <mergeCell ref="T9:U9"/>
    <mergeCell ref="V8:W8"/>
    <mergeCell ref="V9:W9"/>
    <mergeCell ref="H19:I20"/>
    <mergeCell ref="H15:I15"/>
    <mergeCell ref="T12:W13"/>
    <mergeCell ref="H13:I13"/>
    <mergeCell ref="P10:Q11"/>
    <mergeCell ref="R10:R11"/>
    <mergeCell ref="S10:S11"/>
    <mergeCell ref="M10:M11"/>
    <mergeCell ref="A1:W1"/>
    <mergeCell ref="B2:E2"/>
    <mergeCell ref="F2:I2"/>
    <mergeCell ref="J2:O2"/>
    <mergeCell ref="P2:S2"/>
    <mergeCell ref="T2:W2"/>
    <mergeCell ref="P5:Q5"/>
    <mergeCell ref="H6:I6"/>
    <mergeCell ref="P6:Q6"/>
    <mergeCell ref="A3:A11"/>
    <mergeCell ref="B3:B4"/>
    <mergeCell ref="C3:C4"/>
    <mergeCell ref="D3:E3"/>
    <mergeCell ref="F3:F4"/>
    <mergeCell ref="B10:B11"/>
    <mergeCell ref="H7:I7"/>
    <mergeCell ref="P7:Q7"/>
    <mergeCell ref="J3:L3"/>
    <mergeCell ref="M3:O3"/>
    <mergeCell ref="P3:Q4"/>
    <mergeCell ref="R3:S3"/>
    <mergeCell ref="T5:U5"/>
    <mergeCell ref="T6:U6"/>
    <mergeCell ref="T7:U7"/>
    <mergeCell ref="C10:C11"/>
    <mergeCell ref="D10:D11"/>
    <mergeCell ref="E10:E11"/>
    <mergeCell ref="F10:F11"/>
    <mergeCell ref="H8:I8"/>
    <mergeCell ref="G10:G11"/>
    <mergeCell ref="H10:I11"/>
    <mergeCell ref="H5:I5"/>
    <mergeCell ref="A12:A20"/>
    <mergeCell ref="B12:B13"/>
    <mergeCell ref="C12:C13"/>
    <mergeCell ref="D12:E12"/>
    <mergeCell ref="F12:F13"/>
    <mergeCell ref="G12:I12"/>
    <mergeCell ref="H16:I16"/>
    <mergeCell ref="H18:I18"/>
    <mergeCell ref="H17:I17"/>
    <mergeCell ref="B19:B20"/>
    <mergeCell ref="H14:I14"/>
    <mergeCell ref="C19:C20"/>
    <mergeCell ref="D19:D20"/>
    <mergeCell ref="E19:E20"/>
    <mergeCell ref="F19:F20"/>
    <mergeCell ref="G19:G20"/>
    <mergeCell ref="N10:N11"/>
    <mergeCell ref="O10:O11"/>
    <mergeCell ref="T10:U11"/>
    <mergeCell ref="V10:W11"/>
    <mergeCell ref="J10:J11"/>
    <mergeCell ref="K10:K11"/>
    <mergeCell ref="L10:L11"/>
    <mergeCell ref="P12:Q13"/>
    <mergeCell ref="R12:S12"/>
    <mergeCell ref="J12:L12"/>
    <mergeCell ref="M12:O12"/>
    <mergeCell ref="T14:U14"/>
    <mergeCell ref="V14:W14"/>
    <mergeCell ref="T15:U15"/>
    <mergeCell ref="V15:W15"/>
    <mergeCell ref="T16:U16"/>
    <mergeCell ref="V16:W16"/>
    <mergeCell ref="J21:L21"/>
    <mergeCell ref="M21:O21"/>
    <mergeCell ref="P21:Q22"/>
    <mergeCell ref="R21:S21"/>
    <mergeCell ref="T21:W22"/>
    <mergeCell ref="T19:U20"/>
    <mergeCell ref="V19:W20"/>
    <mergeCell ref="P14:Q14"/>
    <mergeCell ref="P15:Q15"/>
    <mergeCell ref="H22:I22"/>
    <mergeCell ref="P19:Q20"/>
    <mergeCell ref="R19:R20"/>
    <mergeCell ref="S19:S20"/>
    <mergeCell ref="G21:I21"/>
    <mergeCell ref="J19:J20"/>
    <mergeCell ref="K19:K20"/>
    <mergeCell ref="L19:L20"/>
    <mergeCell ref="M19:M20"/>
    <mergeCell ref="N19:N20"/>
    <mergeCell ref="O19:O20"/>
    <mergeCell ref="H25:I25"/>
    <mergeCell ref="P25:Q25"/>
    <mergeCell ref="H26:I26"/>
    <mergeCell ref="P26:Q26"/>
    <mergeCell ref="H23:I23"/>
    <mergeCell ref="P23:Q23"/>
    <mergeCell ref="H24:I24"/>
    <mergeCell ref="P24:Q24"/>
    <mergeCell ref="T23:U23"/>
    <mergeCell ref="T24:U24"/>
    <mergeCell ref="T25:U25"/>
    <mergeCell ref="T26:U26"/>
    <mergeCell ref="A30:A38"/>
    <mergeCell ref="B30:B31"/>
    <mergeCell ref="C30:C31"/>
    <mergeCell ref="D30:E30"/>
    <mergeCell ref="F30:F31"/>
    <mergeCell ref="G30:I30"/>
    <mergeCell ref="J28:J29"/>
    <mergeCell ref="K28:K29"/>
    <mergeCell ref="L28:L29"/>
    <mergeCell ref="A21:A29"/>
    <mergeCell ref="B21:B22"/>
    <mergeCell ref="C21:C22"/>
    <mergeCell ref="D21:E21"/>
    <mergeCell ref="F21:F22"/>
    <mergeCell ref="J30:L30"/>
    <mergeCell ref="H34:I34"/>
    <mergeCell ref="H36:I36"/>
    <mergeCell ref="H27:I27"/>
    <mergeCell ref="B28:B29"/>
    <mergeCell ref="C28:C29"/>
    <mergeCell ref="D28:D29"/>
    <mergeCell ref="E28:E29"/>
    <mergeCell ref="F28:F29"/>
    <mergeCell ref="G28:G29"/>
    <mergeCell ref="M30:O30"/>
    <mergeCell ref="P30:Q31"/>
    <mergeCell ref="R30:S30"/>
    <mergeCell ref="T30:W31"/>
    <mergeCell ref="H31:I31"/>
    <mergeCell ref="P28:Q29"/>
    <mergeCell ref="R28:R29"/>
    <mergeCell ref="S28:S29"/>
    <mergeCell ref="M28:M29"/>
    <mergeCell ref="N28:N29"/>
    <mergeCell ref="O28:O29"/>
    <mergeCell ref="H28:I29"/>
    <mergeCell ref="T28:U29"/>
    <mergeCell ref="V28:W29"/>
    <mergeCell ref="H35:I35"/>
    <mergeCell ref="P35:Q35"/>
    <mergeCell ref="H32:I32"/>
    <mergeCell ref="P32:Q32"/>
    <mergeCell ref="H33:I33"/>
    <mergeCell ref="P33:Q33"/>
    <mergeCell ref="T32:U32"/>
    <mergeCell ref="V32:W32"/>
    <mergeCell ref="T33:U33"/>
    <mergeCell ref="V33:W33"/>
    <mergeCell ref="T34:U34"/>
    <mergeCell ref="V34:W34"/>
    <mergeCell ref="T35:U35"/>
    <mergeCell ref="V35:W35"/>
    <mergeCell ref="B37:B38"/>
    <mergeCell ref="C37:C38"/>
    <mergeCell ref="D37:D38"/>
    <mergeCell ref="E37:E38"/>
    <mergeCell ref="F37:F38"/>
    <mergeCell ref="G37:G38"/>
    <mergeCell ref="H37:I38"/>
    <mergeCell ref="P37:Q38"/>
    <mergeCell ref="R37:R38"/>
    <mergeCell ref="J37:J38"/>
    <mergeCell ref="K37:K38"/>
    <mergeCell ref="L37:L38"/>
    <mergeCell ref="M37:M38"/>
    <mergeCell ref="N37:N38"/>
    <mergeCell ref="O37:O38"/>
    <mergeCell ref="V23:W23"/>
    <mergeCell ref="V24:W24"/>
    <mergeCell ref="V25:W25"/>
    <mergeCell ref="V26:W26"/>
    <mergeCell ref="P18:Q18"/>
    <mergeCell ref="P16:Q16"/>
    <mergeCell ref="T37:U38"/>
    <mergeCell ref="V37:W38"/>
    <mergeCell ref="P36:Q36"/>
    <mergeCell ref="S37:S38"/>
    <mergeCell ref="T36:U36"/>
    <mergeCell ref="V36:W36"/>
    <mergeCell ref="P34:Q34"/>
    <mergeCell ref="P27:Q27"/>
    <mergeCell ref="T27:U27"/>
    <mergeCell ref="V27:W27"/>
    <mergeCell ref="T18:U18"/>
    <mergeCell ref="V18:W18"/>
    <mergeCell ref="P17:Q17"/>
    <mergeCell ref="T17:U17"/>
    <mergeCell ref="V17:W17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8:Z11"/>
    <mergeCell ref="AA8:AB11"/>
    <mergeCell ref="X10:X11"/>
    <mergeCell ref="X12:X13"/>
    <mergeCell ref="Y12:Z13"/>
    <mergeCell ref="AA12:AB13"/>
    <mergeCell ref="Y14:Z14"/>
    <mergeCell ref="AA14:AB14"/>
    <mergeCell ref="Y15:Z15"/>
    <mergeCell ref="AA15:AB15"/>
    <mergeCell ref="X28:X29"/>
    <mergeCell ref="X30:X31"/>
    <mergeCell ref="Y30:Z31"/>
    <mergeCell ref="AA30:AB31"/>
    <mergeCell ref="Y16:Z16"/>
    <mergeCell ref="AA16:AB16"/>
    <mergeCell ref="Y17:Z20"/>
    <mergeCell ref="AA17:AB20"/>
    <mergeCell ref="X19:X20"/>
    <mergeCell ref="X21:X22"/>
    <mergeCell ref="Y21:Z22"/>
    <mergeCell ref="AA21:AB22"/>
    <mergeCell ref="Y23:Z23"/>
    <mergeCell ref="AA23:AB23"/>
    <mergeCell ref="Y32:Z32"/>
    <mergeCell ref="AA32:AB32"/>
    <mergeCell ref="Y33:Z33"/>
    <mergeCell ref="AA33:AB33"/>
    <mergeCell ref="Y34:Z34"/>
    <mergeCell ref="Y24:Z24"/>
    <mergeCell ref="AA24:AB24"/>
    <mergeCell ref="Y25:Z25"/>
    <mergeCell ref="AA25:AB25"/>
    <mergeCell ref="Y26:Z29"/>
    <mergeCell ref="AA26:AB29"/>
    <mergeCell ref="AA34:AB34"/>
  </mergeCells>
  <conditionalFormatting sqref="B5:E5 C6:C9 B14 B23 B32 E6:E8">
    <cfRule type="expression" dxfId="533" priority="276">
      <formula>#REF!=1</formula>
    </cfRule>
  </conditionalFormatting>
  <conditionalFormatting sqref="B6 D6 B15 B24 B33">
    <cfRule type="expression" dxfId="532" priority="275">
      <formula>#REF!=2</formula>
    </cfRule>
  </conditionalFormatting>
  <conditionalFormatting sqref="B7 D7 B16 B25 B34">
    <cfRule type="expression" dxfId="531" priority="274">
      <formula>#REF!=3</formula>
    </cfRule>
  </conditionalFormatting>
  <conditionalFormatting sqref="B8 D8 B17 B26 B35">
    <cfRule type="expression" dxfId="530" priority="273">
      <formula>#REF!=4</formula>
    </cfRule>
  </conditionalFormatting>
  <conditionalFormatting sqref="B9 D9:E9 B18 B27 B36">
    <cfRule type="expression" dxfId="529" priority="272">
      <formula>#REF!=5</formula>
    </cfRule>
  </conditionalFormatting>
  <conditionalFormatting sqref="B10:E10 B19 B28 B37">
    <cfRule type="expression" dxfId="528" priority="271">
      <formula>#REF!=6</formula>
    </cfRule>
  </conditionalFormatting>
  <conditionalFormatting sqref="D4 D13 D22 D31">
    <cfRule type="expression" dxfId="527" priority="270">
      <formula>#REF!&gt;0</formula>
    </cfRule>
  </conditionalFormatting>
  <conditionalFormatting sqref="E4 E13 E22 E31">
    <cfRule type="expression" dxfId="526" priority="269">
      <formula>#REF!&gt;0</formula>
    </cfRule>
  </conditionalFormatting>
  <conditionalFormatting sqref="F5:H5 H6:H8">
    <cfRule type="expression" dxfId="525" priority="268">
      <formula>#REF!=1</formula>
    </cfRule>
  </conditionalFormatting>
  <conditionalFormatting sqref="F6:G6">
    <cfRule type="expression" dxfId="524" priority="267">
      <formula>#REF!=2</formula>
    </cfRule>
  </conditionalFormatting>
  <conditionalFormatting sqref="F7:G7">
    <cfRule type="expression" dxfId="523" priority="266">
      <formula>#REF!=3</formula>
    </cfRule>
  </conditionalFormatting>
  <conditionalFormatting sqref="F8:G8">
    <cfRule type="expression" dxfId="522" priority="265">
      <formula>#REF!=4</formula>
    </cfRule>
  </conditionalFormatting>
  <conditionalFormatting sqref="F9:H9">
    <cfRule type="expression" dxfId="521" priority="264">
      <formula>#REF!=5</formula>
    </cfRule>
  </conditionalFormatting>
  <conditionalFormatting sqref="F10:G10">
    <cfRule type="expression" dxfId="520" priority="263">
      <formula>#REF!=6</formula>
    </cfRule>
  </conditionalFormatting>
  <conditionalFormatting sqref="G4 G13 G22 G31">
    <cfRule type="expression" dxfId="519" priority="262">
      <formula>#REF!&gt;0</formula>
    </cfRule>
  </conditionalFormatting>
  <conditionalFormatting sqref="H4 H13 H22 H31">
    <cfRule type="expression" dxfId="518" priority="261">
      <formula>#REF!&gt;0</formula>
    </cfRule>
  </conditionalFormatting>
  <conditionalFormatting sqref="H10">
    <cfRule type="expression" dxfId="517" priority="260">
      <formula>#REF!=6</formula>
    </cfRule>
  </conditionalFormatting>
  <conditionalFormatting sqref="M4">
    <cfRule type="expression" dxfId="516" priority="253">
      <formula>AND($F$29=$G$26,$K$26&gt;=130)</formula>
    </cfRule>
  </conditionalFormatting>
  <conditionalFormatting sqref="N4">
    <cfRule type="expression" dxfId="515" priority="252">
      <formula>AND($G$29=$G$26,$K$26&gt;=130)</formula>
    </cfRule>
  </conditionalFormatting>
  <conditionalFormatting sqref="O4">
    <cfRule type="expression" dxfId="514" priority="251">
      <formula>AND($H$29=$G$26,$K$26&gt;=130)</formula>
    </cfRule>
  </conditionalFormatting>
  <conditionalFormatting sqref="M13">
    <cfRule type="expression" dxfId="513" priority="232">
      <formula>AND($F$29=$G$26,$K$26&gt;=130)</formula>
    </cfRule>
  </conditionalFormatting>
  <conditionalFormatting sqref="N13">
    <cfRule type="expression" dxfId="512" priority="231">
      <formula>AND($G$29=$G$26,$K$26&gt;=130)</formula>
    </cfRule>
  </conditionalFormatting>
  <conditionalFormatting sqref="O13">
    <cfRule type="expression" dxfId="511" priority="230">
      <formula>AND($H$29=$G$26,$K$26&gt;=130)</formula>
    </cfRule>
  </conditionalFormatting>
  <conditionalFormatting sqref="M22">
    <cfRule type="expression" dxfId="510" priority="229">
      <formula>AND($F$29=$G$26,$K$26&gt;=130)</formula>
    </cfRule>
  </conditionalFormatting>
  <conditionalFormatting sqref="N22">
    <cfRule type="expression" dxfId="509" priority="228">
      <formula>AND($G$29=$G$26,$K$26&gt;=130)</formula>
    </cfRule>
  </conditionalFormatting>
  <conditionalFormatting sqref="O22">
    <cfRule type="expression" dxfId="508" priority="227">
      <formula>AND($H$29=$G$26,$K$26&gt;=130)</formula>
    </cfRule>
  </conditionalFormatting>
  <conditionalFormatting sqref="M31">
    <cfRule type="expression" dxfId="507" priority="226">
      <formula>AND($F$29=$G$26,$K$26&gt;=130)</formula>
    </cfRule>
  </conditionalFormatting>
  <conditionalFormatting sqref="N31">
    <cfRule type="expression" dxfId="506" priority="225">
      <formula>AND($G$29=$G$26,$K$26&gt;=130)</formula>
    </cfRule>
  </conditionalFormatting>
  <conditionalFormatting sqref="O31">
    <cfRule type="expression" dxfId="505" priority="224">
      <formula>AND($H$29=$G$26,$K$26&gt;=130)</formula>
    </cfRule>
  </conditionalFormatting>
  <conditionalFormatting sqref="S4">
    <cfRule type="expression" dxfId="504" priority="213">
      <formula>$J$45&gt;0</formula>
    </cfRule>
  </conditionalFormatting>
  <conditionalFormatting sqref="R4">
    <cfRule type="expression" dxfId="503" priority="212">
      <formula>$J$42&gt;0</formula>
    </cfRule>
  </conditionalFormatting>
  <conditionalFormatting sqref="T5:T10 V5:V10">
    <cfRule type="expression" dxfId="502" priority="184">
      <formula>$C$58=1</formula>
    </cfRule>
  </conditionalFormatting>
  <conditionalFormatting sqref="S13">
    <cfRule type="expression" dxfId="501" priority="163">
      <formula>$J$45&gt;0</formula>
    </cfRule>
  </conditionalFormatting>
  <conditionalFormatting sqref="R13">
    <cfRule type="expression" dxfId="500" priority="162">
      <formula>$J$42&gt;0</formula>
    </cfRule>
  </conditionalFormatting>
  <conditionalFormatting sqref="S22">
    <cfRule type="expression" dxfId="499" priority="161">
      <formula>$J$45&gt;0</formula>
    </cfRule>
  </conditionalFormatting>
  <conditionalFormatting sqref="R22">
    <cfRule type="expression" dxfId="498" priority="160">
      <formula>$J$42&gt;0</formula>
    </cfRule>
  </conditionalFormatting>
  <conditionalFormatting sqref="S31">
    <cfRule type="expression" dxfId="497" priority="159">
      <formula>$J$45&gt;0</formula>
    </cfRule>
  </conditionalFormatting>
  <conditionalFormatting sqref="R31">
    <cfRule type="expression" dxfId="496" priority="158">
      <formula>$J$42&gt;0</formula>
    </cfRule>
  </conditionalFormatting>
  <conditionalFormatting sqref="C14:E14 C15:C18 E15:E17">
    <cfRule type="expression" dxfId="495" priority="157">
      <formula>#REF!=1</formula>
    </cfRule>
  </conditionalFormatting>
  <conditionalFormatting sqref="D15">
    <cfRule type="expression" dxfId="494" priority="156">
      <formula>#REF!=2</formula>
    </cfRule>
  </conditionalFormatting>
  <conditionalFormatting sqref="D16">
    <cfRule type="expression" dxfId="493" priority="155">
      <formula>#REF!=3</formula>
    </cfRule>
  </conditionalFormatting>
  <conditionalFormatting sqref="D17">
    <cfRule type="expression" dxfId="492" priority="154">
      <formula>#REF!=4</formula>
    </cfRule>
  </conditionalFormatting>
  <conditionalFormatting sqref="D18:E18">
    <cfRule type="expression" dxfId="491" priority="153">
      <formula>#REF!=5</formula>
    </cfRule>
  </conditionalFormatting>
  <conditionalFormatting sqref="C19:E19">
    <cfRule type="expression" dxfId="490" priority="152">
      <formula>#REF!=6</formula>
    </cfRule>
  </conditionalFormatting>
  <conditionalFormatting sqref="F14:H14 H15:H17">
    <cfRule type="expression" dxfId="489" priority="151">
      <formula>#REF!=1</formula>
    </cfRule>
  </conditionalFormatting>
  <conditionalFormatting sqref="F15:G15">
    <cfRule type="expression" dxfId="488" priority="150">
      <formula>#REF!=2</formula>
    </cfRule>
  </conditionalFormatting>
  <conditionalFormatting sqref="F16:G16">
    <cfRule type="expression" dxfId="487" priority="149">
      <formula>#REF!=3</formula>
    </cfRule>
  </conditionalFormatting>
  <conditionalFormatting sqref="F17:G17">
    <cfRule type="expression" dxfId="486" priority="148">
      <formula>#REF!=4</formula>
    </cfRule>
  </conditionalFormatting>
  <conditionalFormatting sqref="F18:H18">
    <cfRule type="expression" dxfId="485" priority="147">
      <formula>#REF!=5</formula>
    </cfRule>
  </conditionalFormatting>
  <conditionalFormatting sqref="F19:G19">
    <cfRule type="expression" dxfId="484" priority="146">
      <formula>#REF!=6</formula>
    </cfRule>
  </conditionalFormatting>
  <conditionalFormatting sqref="H19">
    <cfRule type="expression" dxfId="483" priority="145">
      <formula>#REF!=6</formula>
    </cfRule>
  </conditionalFormatting>
  <conditionalFormatting sqref="C23:E23 C24:C27 E24:E26">
    <cfRule type="expression" dxfId="482" priority="144">
      <formula>#REF!=1</formula>
    </cfRule>
  </conditionalFormatting>
  <conditionalFormatting sqref="D24">
    <cfRule type="expression" dxfId="481" priority="143">
      <formula>#REF!=2</formula>
    </cfRule>
  </conditionalFormatting>
  <conditionalFormatting sqref="D25">
    <cfRule type="expression" dxfId="480" priority="142">
      <formula>#REF!=3</formula>
    </cfRule>
  </conditionalFormatting>
  <conditionalFormatting sqref="D26">
    <cfRule type="expression" dxfId="479" priority="141">
      <formula>#REF!=4</formula>
    </cfRule>
  </conditionalFormatting>
  <conditionalFormatting sqref="D27:E27">
    <cfRule type="expression" dxfId="478" priority="140">
      <formula>#REF!=5</formula>
    </cfRule>
  </conditionalFormatting>
  <conditionalFormatting sqref="C28:E28">
    <cfRule type="expression" dxfId="477" priority="139">
      <formula>#REF!=6</formula>
    </cfRule>
  </conditionalFormatting>
  <conditionalFormatting sqref="F23:H23 H24:H26">
    <cfRule type="expression" dxfId="476" priority="138">
      <formula>#REF!=1</formula>
    </cfRule>
  </conditionalFormatting>
  <conditionalFormatting sqref="F24:G24">
    <cfRule type="expression" dxfId="475" priority="137">
      <formula>#REF!=2</formula>
    </cfRule>
  </conditionalFormatting>
  <conditionalFormatting sqref="F25:G25">
    <cfRule type="expression" dxfId="474" priority="136">
      <formula>#REF!=3</formula>
    </cfRule>
  </conditionalFormatting>
  <conditionalFormatting sqref="F26:G26">
    <cfRule type="expression" dxfId="473" priority="135">
      <formula>#REF!=4</formula>
    </cfRule>
  </conditionalFormatting>
  <conditionalFormatting sqref="F27:H27">
    <cfRule type="expression" dxfId="472" priority="134">
      <formula>#REF!=5</formula>
    </cfRule>
  </conditionalFormatting>
  <conditionalFormatting sqref="F28:G28">
    <cfRule type="expression" dxfId="471" priority="133">
      <formula>#REF!=6</formula>
    </cfRule>
  </conditionalFormatting>
  <conditionalFormatting sqref="H28">
    <cfRule type="expression" dxfId="470" priority="132">
      <formula>#REF!=6</formula>
    </cfRule>
  </conditionalFormatting>
  <conditionalFormatting sqref="C32:E32 C33:C36 E33:E35">
    <cfRule type="expression" dxfId="469" priority="131">
      <formula>#REF!=1</formula>
    </cfRule>
  </conditionalFormatting>
  <conditionalFormatting sqref="D33">
    <cfRule type="expression" dxfId="468" priority="130">
      <formula>#REF!=2</formula>
    </cfRule>
  </conditionalFormatting>
  <conditionalFormatting sqref="D34">
    <cfRule type="expression" dxfId="467" priority="129">
      <formula>#REF!=3</formula>
    </cfRule>
  </conditionalFormatting>
  <conditionalFormatting sqref="D35">
    <cfRule type="expression" dxfId="466" priority="128">
      <formula>#REF!=4</formula>
    </cfRule>
  </conditionalFormatting>
  <conditionalFormatting sqref="D36:E36">
    <cfRule type="expression" dxfId="465" priority="127">
      <formula>#REF!=5</formula>
    </cfRule>
  </conditionalFormatting>
  <conditionalFormatting sqref="C37:E37">
    <cfRule type="expression" dxfId="464" priority="126">
      <formula>#REF!=6</formula>
    </cfRule>
  </conditionalFormatting>
  <conditionalFormatting sqref="F32:H32 H33:H35">
    <cfRule type="expression" dxfId="463" priority="125">
      <formula>#REF!=1</formula>
    </cfRule>
  </conditionalFormatting>
  <conditionalFormatting sqref="F33:G33">
    <cfRule type="expression" dxfId="462" priority="124">
      <formula>#REF!=2</formula>
    </cfRule>
  </conditionalFormatting>
  <conditionalFormatting sqref="F34:G34">
    <cfRule type="expression" dxfId="461" priority="123">
      <formula>#REF!=3</formula>
    </cfRule>
  </conditionalFormatting>
  <conditionalFormatting sqref="F35:G35">
    <cfRule type="expression" dxfId="460" priority="122">
      <formula>#REF!=4</formula>
    </cfRule>
  </conditionalFormatting>
  <conditionalFormatting sqref="F36:H36">
    <cfRule type="expression" dxfId="459" priority="121">
      <formula>#REF!=5</formula>
    </cfRule>
  </conditionalFormatting>
  <conditionalFormatting sqref="F37:G37">
    <cfRule type="expression" dxfId="458" priority="120">
      <formula>#REF!=6</formula>
    </cfRule>
  </conditionalFormatting>
  <conditionalFormatting sqref="H37">
    <cfRule type="expression" dxfId="457" priority="119">
      <formula>#REF!=6</formula>
    </cfRule>
  </conditionalFormatting>
  <conditionalFormatting sqref="K5:N5 L6:L9">
    <cfRule type="expression" dxfId="456" priority="115">
      <formula>$C$26=1</formula>
    </cfRule>
  </conditionalFormatting>
  <conditionalFormatting sqref="K7">
    <cfRule type="expression" dxfId="455" priority="114">
      <formula>$C$26=3</formula>
    </cfRule>
  </conditionalFormatting>
  <conditionalFormatting sqref="K9 N9">
    <cfRule type="expression" dxfId="454" priority="113">
      <formula>$C$26=5</formula>
    </cfRule>
  </conditionalFormatting>
  <conditionalFormatting sqref="M10 K10">
    <cfRule type="expression" dxfId="453" priority="112">
      <formula>$C$26=6</formula>
    </cfRule>
  </conditionalFormatting>
  <conditionalFormatting sqref="K6">
    <cfRule type="expression" dxfId="452" priority="111">
      <formula>$C$26=2</formula>
    </cfRule>
  </conditionalFormatting>
  <conditionalFormatting sqref="K8">
    <cfRule type="expression" dxfId="451" priority="110">
      <formula>$C$26=4</formula>
    </cfRule>
  </conditionalFormatting>
  <conditionalFormatting sqref="M6">
    <cfRule type="expression" dxfId="450" priority="109">
      <formula>$C$26=1</formula>
    </cfRule>
  </conditionalFormatting>
  <conditionalFormatting sqref="M7">
    <cfRule type="expression" dxfId="449" priority="108">
      <formula>$C$26=1</formula>
    </cfRule>
  </conditionalFormatting>
  <conditionalFormatting sqref="M8">
    <cfRule type="expression" dxfId="448" priority="107">
      <formula>$C$26=1</formula>
    </cfRule>
  </conditionalFormatting>
  <conditionalFormatting sqref="N6">
    <cfRule type="expression" dxfId="447" priority="106">
      <formula>$C$26=1</formula>
    </cfRule>
  </conditionalFormatting>
  <conditionalFormatting sqref="N7">
    <cfRule type="expression" dxfId="446" priority="105">
      <formula>$C$26=1</formula>
    </cfRule>
  </conditionalFormatting>
  <conditionalFormatting sqref="N8">
    <cfRule type="expression" dxfId="445" priority="104">
      <formula>$C$26=1</formula>
    </cfRule>
  </conditionalFormatting>
  <conditionalFormatting sqref="K14:N14 L15:L18">
    <cfRule type="expression" dxfId="444" priority="103">
      <formula>$C$26=1</formula>
    </cfRule>
  </conditionalFormatting>
  <conditionalFormatting sqref="K16 N16">
    <cfRule type="expression" dxfId="443" priority="102">
      <formula>$C$26=3</formula>
    </cfRule>
  </conditionalFormatting>
  <conditionalFormatting sqref="K18 M18:N18">
    <cfRule type="expression" dxfId="442" priority="101">
      <formula>$C$26=5</formula>
    </cfRule>
  </conditionalFormatting>
  <conditionalFormatting sqref="M19 K19">
    <cfRule type="expression" dxfId="441" priority="100">
      <formula>$C$26=6</formula>
    </cfRule>
  </conditionalFormatting>
  <conditionalFormatting sqref="K15 N15">
    <cfRule type="expression" dxfId="440" priority="99">
      <formula>$C$26=2</formula>
    </cfRule>
  </conditionalFormatting>
  <conditionalFormatting sqref="K17 N17">
    <cfRule type="expression" dxfId="439" priority="98">
      <formula>$C$26=4</formula>
    </cfRule>
  </conditionalFormatting>
  <conditionalFormatting sqref="M15">
    <cfRule type="expression" dxfId="438" priority="97">
      <formula>$C$26=1</formula>
    </cfRule>
  </conditionalFormatting>
  <conditionalFormatting sqref="M16">
    <cfRule type="expression" dxfId="437" priority="96">
      <formula>$C$26=1</formula>
    </cfRule>
  </conditionalFormatting>
  <conditionalFormatting sqref="M17">
    <cfRule type="expression" dxfId="436" priority="95">
      <formula>$C$26=1</formula>
    </cfRule>
  </conditionalFormatting>
  <conditionalFormatting sqref="K23">
    <cfRule type="expression" dxfId="435" priority="94">
      <formula>$C$26=1</formula>
    </cfRule>
  </conditionalFormatting>
  <conditionalFormatting sqref="K25">
    <cfRule type="expression" dxfId="434" priority="93">
      <formula>$C$26=3</formula>
    </cfRule>
  </conditionalFormatting>
  <conditionalFormatting sqref="K27">
    <cfRule type="expression" dxfId="433" priority="92">
      <formula>$C$26=5</formula>
    </cfRule>
  </conditionalFormatting>
  <conditionalFormatting sqref="K28">
    <cfRule type="expression" dxfId="432" priority="91">
      <formula>$C$26=6</formula>
    </cfRule>
  </conditionalFormatting>
  <conditionalFormatting sqref="K24">
    <cfRule type="expression" dxfId="431" priority="90">
      <formula>$C$26=2</formula>
    </cfRule>
  </conditionalFormatting>
  <conditionalFormatting sqref="K26">
    <cfRule type="expression" dxfId="430" priority="89">
      <formula>$C$26=4</formula>
    </cfRule>
  </conditionalFormatting>
  <conditionalFormatting sqref="L23:N23 L24:L27">
    <cfRule type="expression" dxfId="429" priority="88">
      <formula>$C$26=1</formula>
    </cfRule>
  </conditionalFormatting>
  <conditionalFormatting sqref="M27:N27">
    <cfRule type="expression" dxfId="428" priority="87">
      <formula>$C$26=5</formula>
    </cfRule>
  </conditionalFormatting>
  <conditionalFormatting sqref="M28">
    <cfRule type="expression" dxfId="427" priority="86">
      <formula>$C$26=6</formula>
    </cfRule>
  </conditionalFormatting>
  <conditionalFormatting sqref="N24:N26">
    <cfRule type="expression" dxfId="426" priority="85">
      <formula>$C$26=2</formula>
    </cfRule>
  </conditionalFormatting>
  <conditionalFormatting sqref="M24">
    <cfRule type="expression" dxfId="425" priority="84">
      <formula>$C$26=1</formula>
    </cfRule>
  </conditionalFormatting>
  <conditionalFormatting sqref="M25">
    <cfRule type="expression" dxfId="424" priority="83">
      <formula>$C$26=1</formula>
    </cfRule>
  </conditionalFormatting>
  <conditionalFormatting sqref="M26">
    <cfRule type="expression" dxfId="423" priority="82">
      <formula>$C$26=1</formula>
    </cfRule>
  </conditionalFormatting>
  <conditionalFormatting sqref="S36:S37">
    <cfRule type="expression" dxfId="422" priority="76">
      <formula>$C$26=5</formula>
    </cfRule>
  </conditionalFormatting>
  <conditionalFormatting sqref="S27:S28">
    <cfRule type="expression" dxfId="421" priority="58">
      <formula>$C$26=5</formula>
    </cfRule>
  </conditionalFormatting>
  <conditionalFormatting sqref="S19">
    <cfRule type="expression" dxfId="420" priority="54">
      <formula>$C$26=5</formula>
    </cfRule>
  </conditionalFormatting>
  <conditionalFormatting sqref="S10">
    <cfRule type="expression" dxfId="419" priority="51">
      <formula>$C$26=5</formula>
    </cfRule>
  </conditionalFormatting>
  <conditionalFormatting sqref="T14:T19 V14:V19">
    <cfRule type="expression" dxfId="418" priority="49">
      <formula>$C$58=1</formula>
    </cfRule>
  </conditionalFormatting>
  <conditionalFormatting sqref="T23:T28 V23:V28">
    <cfRule type="expression" dxfId="417" priority="48">
      <formula>$C$58=1</formula>
    </cfRule>
  </conditionalFormatting>
  <conditionalFormatting sqref="T32:T37 V32:V37">
    <cfRule type="expression" dxfId="416" priority="47">
      <formula>$C$58=1</formula>
    </cfRule>
  </conditionalFormatting>
  <conditionalFormatting sqref="M37 K37">
    <cfRule type="expression" dxfId="415" priority="46">
      <formula>$C$26=6</formula>
    </cfRule>
  </conditionalFormatting>
  <conditionalFormatting sqref="P32:S32 P23:S23 P14:S18 P5:S9">
    <cfRule type="expression" dxfId="414" priority="388">
      <formula>$C$53=1</formula>
    </cfRule>
  </conditionalFormatting>
  <conditionalFormatting sqref="P34:S35 P25:S25">
    <cfRule type="expression" dxfId="413" priority="389">
      <formula>$C$53=3</formula>
    </cfRule>
  </conditionalFormatting>
  <conditionalFormatting sqref="P36:S36 P27:S27">
    <cfRule type="expression" dxfId="412" priority="390">
      <formula>$C$53=5</formula>
    </cfRule>
  </conditionalFormatting>
  <conditionalFormatting sqref="P33:S33 P24:S24">
    <cfRule type="expression" dxfId="411" priority="391">
      <formula>$C$53=2</formula>
    </cfRule>
  </conditionalFormatting>
  <conditionalFormatting sqref="R37:S37 P37 P28 R28:S28 R19:S19 P19 R10:S10 P10">
    <cfRule type="expression" dxfId="410" priority="392">
      <formula>$C$53=6</formula>
    </cfRule>
  </conditionalFormatting>
  <conditionalFormatting sqref="P26:S26">
    <cfRule type="expression" dxfId="409" priority="397">
      <formula>$C$53=4</formula>
    </cfRule>
  </conditionalFormatting>
  <conditionalFormatting sqref="B41">
    <cfRule type="expression" dxfId="408" priority="45">
      <formula>#REF!=1</formula>
    </cfRule>
  </conditionalFormatting>
  <conditionalFormatting sqref="B42">
    <cfRule type="expression" dxfId="407" priority="44">
      <formula>#REF!=2</formula>
    </cfRule>
  </conditionalFormatting>
  <conditionalFormatting sqref="B43">
    <cfRule type="expression" dxfId="406" priority="43">
      <formula>#REF!=3</formula>
    </cfRule>
  </conditionalFormatting>
  <conditionalFormatting sqref="B44">
    <cfRule type="expression" dxfId="405" priority="42">
      <formula>#REF!=4</formula>
    </cfRule>
  </conditionalFormatting>
  <conditionalFormatting sqref="B45">
    <cfRule type="expression" dxfId="404" priority="41">
      <formula>#REF!=5</formula>
    </cfRule>
  </conditionalFormatting>
  <conditionalFormatting sqref="B46">
    <cfRule type="expression" dxfId="403" priority="40">
      <formula>#REF!=6</formula>
    </cfRule>
  </conditionalFormatting>
  <conditionalFormatting sqref="D40">
    <cfRule type="expression" dxfId="402" priority="39">
      <formula>#REF!&gt;0</formula>
    </cfRule>
  </conditionalFormatting>
  <conditionalFormatting sqref="E40">
    <cfRule type="expression" dxfId="401" priority="38">
      <formula>#REF!&gt;0</formula>
    </cfRule>
  </conditionalFormatting>
  <conditionalFormatting sqref="G40">
    <cfRule type="expression" dxfId="400" priority="37">
      <formula>#REF!&gt;0</formula>
    </cfRule>
  </conditionalFormatting>
  <conditionalFormatting sqref="H40">
    <cfRule type="expression" dxfId="399" priority="36">
      <formula>#REF!&gt;0</formula>
    </cfRule>
  </conditionalFormatting>
  <conditionalFormatting sqref="M40">
    <cfRule type="expression" dxfId="398" priority="35">
      <formula>AND($F$29=$G$26,$K$26&gt;=130)</formula>
    </cfRule>
  </conditionalFormatting>
  <conditionalFormatting sqref="N40">
    <cfRule type="expression" dxfId="397" priority="34">
      <formula>AND($G$29=$G$26,$K$26&gt;=130)</formula>
    </cfRule>
  </conditionalFormatting>
  <conditionalFormatting sqref="O40">
    <cfRule type="expression" dxfId="396" priority="33">
      <formula>AND($H$29=$G$26,$K$26&gt;=130)</formula>
    </cfRule>
  </conditionalFormatting>
  <conditionalFormatting sqref="S40">
    <cfRule type="expression" dxfId="395" priority="32">
      <formula>$J$45&gt;0</formula>
    </cfRule>
  </conditionalFormatting>
  <conditionalFormatting sqref="R40">
    <cfRule type="expression" dxfId="394" priority="31">
      <formula>$J$42&gt;0</formula>
    </cfRule>
  </conditionalFormatting>
  <conditionalFormatting sqref="C41:E41 C42:C45 E42:E44">
    <cfRule type="expression" dxfId="393" priority="30">
      <formula>#REF!=1</formula>
    </cfRule>
  </conditionalFormatting>
  <conditionalFormatting sqref="D42">
    <cfRule type="expression" dxfId="392" priority="29">
      <formula>#REF!=2</formula>
    </cfRule>
  </conditionalFormatting>
  <conditionalFormatting sqref="D43">
    <cfRule type="expression" dxfId="391" priority="28">
      <formula>#REF!=3</formula>
    </cfRule>
  </conditionalFormatting>
  <conditionalFormatting sqref="D44">
    <cfRule type="expression" dxfId="390" priority="27">
      <formula>#REF!=4</formula>
    </cfRule>
  </conditionalFormatting>
  <conditionalFormatting sqref="D45:E45">
    <cfRule type="expression" dxfId="389" priority="26">
      <formula>#REF!=5</formula>
    </cfRule>
  </conditionalFormatting>
  <conditionalFormatting sqref="C46:D46">
    <cfRule type="expression" dxfId="388" priority="25">
      <formula>#REF!=6</formula>
    </cfRule>
  </conditionalFormatting>
  <conditionalFormatting sqref="F41:H41 H42:H44">
    <cfRule type="expression" dxfId="387" priority="24">
      <formula>#REF!=1</formula>
    </cfRule>
  </conditionalFormatting>
  <conditionalFormatting sqref="F42:G42">
    <cfRule type="expression" dxfId="386" priority="23">
      <formula>#REF!=2</formula>
    </cfRule>
  </conditionalFormatting>
  <conditionalFormatting sqref="F43:G43">
    <cfRule type="expression" dxfId="385" priority="22">
      <formula>#REF!=3</formula>
    </cfRule>
  </conditionalFormatting>
  <conditionalFormatting sqref="F44:G44">
    <cfRule type="expression" dxfId="384" priority="21">
      <formula>#REF!=4</formula>
    </cfRule>
  </conditionalFormatting>
  <conditionalFormatting sqref="F45:H45">
    <cfRule type="expression" dxfId="383" priority="20">
      <formula>#REF!=5</formula>
    </cfRule>
  </conditionalFormatting>
  <conditionalFormatting sqref="F46:G46">
    <cfRule type="expression" dxfId="382" priority="19">
      <formula>#REF!=6</formula>
    </cfRule>
  </conditionalFormatting>
  <conditionalFormatting sqref="H46">
    <cfRule type="expression" dxfId="381" priority="18">
      <formula>#REF!=6</formula>
    </cfRule>
  </conditionalFormatting>
  <conditionalFormatting sqref="E46">
    <cfRule type="expression" dxfId="380" priority="17">
      <formula>#REF!=6</formula>
    </cfRule>
  </conditionalFormatting>
  <conditionalFormatting sqref="V46 T41 T46">
    <cfRule type="expression" dxfId="379" priority="10">
      <formula>$C$58=1</formula>
    </cfRule>
  </conditionalFormatting>
  <conditionalFormatting sqref="V45">
    <cfRule type="expression" dxfId="378" priority="9">
      <formula>$C$58=1</formula>
    </cfRule>
  </conditionalFormatting>
  <conditionalFormatting sqref="T42:T45">
    <cfRule type="expression" dxfId="377" priority="8">
      <formula>$C$58=1</formula>
    </cfRule>
  </conditionalFormatting>
  <conditionalFormatting sqref="V41:V44">
    <cfRule type="expression" dxfId="376" priority="7">
      <formula>$C$58=1</formula>
    </cfRule>
  </conditionalFormatting>
  <conditionalFormatting sqref="M46 K46">
    <cfRule type="expression" dxfId="375" priority="6">
      <formula>$C$26=6</formula>
    </cfRule>
  </conditionalFormatting>
  <conditionalFormatting sqref="P41:Q41">
    <cfRule type="expression" dxfId="374" priority="5">
      <formula>$C$42=1</formula>
    </cfRule>
  </conditionalFormatting>
  <conditionalFormatting sqref="P43:Q44">
    <cfRule type="expression" dxfId="373" priority="4">
      <formula>$C$42=3</formula>
    </cfRule>
  </conditionalFormatting>
  <conditionalFormatting sqref="P45:Q45">
    <cfRule type="expression" dxfId="372" priority="3">
      <formula>$C$42=5</formula>
    </cfRule>
  </conditionalFormatting>
  <conditionalFormatting sqref="P42:Q42">
    <cfRule type="expression" dxfId="371" priority="2">
      <formula>$C$42=2</formula>
    </cfRule>
  </conditionalFormatting>
  <conditionalFormatting sqref="P46">
    <cfRule type="expression" dxfId="370" priority="1">
      <formula>$C$42=6</formula>
    </cfRule>
  </conditionalFormatting>
  <hyperlinks>
    <hyperlink ref="A52" r:id="rId1" xr:uid="{00000000-0004-0000-0800-000000000000}"/>
    <hyperlink ref="AD3" r:id="rId2" xr:uid="{00000000-0004-0000-0800-000001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AB50"/>
  <sheetViews>
    <sheetView topLeftCell="H25" zoomScale="85" zoomScaleNormal="85" workbookViewId="0">
      <selection activeCell="S46" sqref="P41:S47"/>
    </sheetView>
  </sheetViews>
  <sheetFormatPr baseColWidth="10" defaultRowHeight="15" x14ac:dyDescent="0.25"/>
  <cols>
    <col min="2" max="2" width="21.28515625" customWidth="1"/>
  </cols>
  <sheetData>
    <row r="1" spans="1:28" ht="26.25" thickBot="1" x14ac:dyDescent="0.3">
      <c r="A1" s="511" t="s">
        <v>115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28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180</v>
      </c>
      <c r="U2" s="480"/>
      <c r="V2" s="480"/>
      <c r="W2" s="481"/>
      <c r="X2" s="479" t="s">
        <v>170</v>
      </c>
      <c r="Y2" s="480"/>
      <c r="Z2" s="480"/>
      <c r="AA2" s="480"/>
      <c r="AB2" s="481"/>
    </row>
    <row r="3" spans="1:28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9" t="s">
        <v>6</v>
      </c>
      <c r="H3" s="522"/>
      <c r="I3" s="510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120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</row>
    <row r="4" spans="1:28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28" ht="15.75" thickBot="1" x14ac:dyDescent="0.3">
      <c r="A5" s="491"/>
      <c r="B5" s="14" t="s">
        <v>25</v>
      </c>
      <c r="C5" s="39">
        <v>5812.44</v>
      </c>
      <c r="D5" s="1">
        <v>824.88</v>
      </c>
      <c r="E5" s="1">
        <v>1178.4000000000001</v>
      </c>
      <c r="F5" s="1">
        <v>3343.19</v>
      </c>
      <c r="G5" s="1">
        <v>644.98</v>
      </c>
      <c r="H5" s="199">
        <v>859.97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199">
        <v>0.11</v>
      </c>
      <c r="U5" s="200"/>
      <c r="V5" s="199" t="s">
        <v>122</v>
      </c>
      <c r="W5" s="200"/>
      <c r="X5" s="58"/>
      <c r="Y5" s="521"/>
      <c r="Z5" s="521"/>
      <c r="AA5" s="521"/>
      <c r="AB5" s="521"/>
    </row>
    <row r="6" spans="1:28" ht="15.75" thickBot="1" x14ac:dyDescent="0.3">
      <c r="A6" s="491"/>
      <c r="B6" s="14" t="s">
        <v>21</v>
      </c>
      <c r="C6" s="39">
        <v>6642.79</v>
      </c>
      <c r="D6" s="10">
        <v>942.72</v>
      </c>
      <c r="E6" s="1">
        <v>1178.4000000000001</v>
      </c>
      <c r="F6" s="1">
        <v>3566.07</v>
      </c>
      <c r="G6" s="1">
        <v>687.98</v>
      </c>
      <c r="H6" s="199">
        <v>860.97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199">
        <v>0.17</v>
      </c>
      <c r="U6" s="200"/>
      <c r="V6" s="199" t="s">
        <v>122</v>
      </c>
      <c r="W6" s="200"/>
      <c r="X6" s="58"/>
      <c r="Y6" s="521"/>
      <c r="Z6" s="521"/>
      <c r="AA6" s="521"/>
      <c r="AB6" s="521"/>
    </row>
    <row r="7" spans="1:28" ht="15.75" thickBot="1" x14ac:dyDescent="0.3">
      <c r="A7" s="491"/>
      <c r="B7" s="14" t="s">
        <v>24</v>
      </c>
      <c r="C7" s="39">
        <v>8303.49</v>
      </c>
      <c r="D7" s="1">
        <v>1178.4000000000001</v>
      </c>
      <c r="E7" s="1">
        <v>1178.4000000000001</v>
      </c>
      <c r="F7" s="1">
        <v>4457.59</v>
      </c>
      <c r="G7" s="1">
        <v>859.97</v>
      </c>
      <c r="H7" s="199">
        <v>861.97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199">
        <v>0.22</v>
      </c>
      <c r="U7" s="200"/>
      <c r="V7" s="199" t="s">
        <v>122</v>
      </c>
      <c r="W7" s="200"/>
      <c r="X7" s="58"/>
      <c r="Y7" s="521"/>
      <c r="Z7" s="521"/>
      <c r="AA7" s="521"/>
      <c r="AB7" s="521"/>
    </row>
    <row r="8" spans="1:28" ht="15.75" thickBot="1" x14ac:dyDescent="0.3">
      <c r="A8" s="491"/>
      <c r="B8" s="14" t="s">
        <v>22</v>
      </c>
      <c r="C8" s="39">
        <v>8303.49</v>
      </c>
      <c r="D8" s="1">
        <v>1178.4000000000001</v>
      </c>
      <c r="E8" s="1">
        <v>1178.4000000000001</v>
      </c>
      <c r="F8" s="1">
        <v>4457.59</v>
      </c>
      <c r="G8" s="1">
        <v>859.97</v>
      </c>
      <c r="H8" s="199">
        <v>862.97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199">
        <v>0.33</v>
      </c>
      <c r="U8" s="200"/>
      <c r="V8" s="199" t="s">
        <v>122</v>
      </c>
      <c r="W8" s="200"/>
      <c r="X8" s="58"/>
      <c r="Y8" s="469"/>
      <c r="Z8" s="470"/>
      <c r="AA8" s="469"/>
      <c r="AB8" s="470"/>
    </row>
    <row r="9" spans="1:28" ht="15.75" thickBot="1" x14ac:dyDescent="0.3">
      <c r="A9" s="491"/>
      <c r="B9" s="21" t="s">
        <v>23</v>
      </c>
      <c r="C9" s="39">
        <v>12455.24</v>
      </c>
      <c r="D9" s="22">
        <v>1767.6</v>
      </c>
      <c r="E9" s="22">
        <v>1767.6</v>
      </c>
      <c r="F9" s="22">
        <v>6686.39</v>
      </c>
      <c r="G9" s="22">
        <v>1289.96</v>
      </c>
      <c r="H9" s="308">
        <v>1289.96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199">
        <v>0.73</v>
      </c>
      <c r="U9" s="200"/>
      <c r="V9" s="199" t="s">
        <v>122</v>
      </c>
      <c r="W9" s="200"/>
      <c r="X9" s="58"/>
      <c r="Y9" s="373"/>
      <c r="Z9" s="375"/>
      <c r="AA9" s="373"/>
      <c r="AB9" s="375"/>
    </row>
    <row r="10" spans="1:28" x14ac:dyDescent="0.25">
      <c r="A10" s="491"/>
      <c r="B10" s="351" t="s">
        <v>26</v>
      </c>
      <c r="C10" s="215">
        <v>13285.58</v>
      </c>
      <c r="D10" s="215">
        <v>1885.44</v>
      </c>
      <c r="E10" s="215">
        <v>1885.44</v>
      </c>
      <c r="F10" s="215">
        <v>7132.14</v>
      </c>
      <c r="G10" s="215">
        <v>1375.95</v>
      </c>
      <c r="H10" s="207">
        <v>1375.95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0.73</v>
      </c>
      <c r="U10" s="297"/>
      <c r="V10" s="206" t="s">
        <v>122</v>
      </c>
      <c r="W10" s="208"/>
      <c r="X10" s="215"/>
      <c r="Y10" s="373"/>
      <c r="Z10" s="375"/>
      <c r="AA10" s="373"/>
      <c r="AB10" s="375"/>
    </row>
    <row r="11" spans="1:28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13"/>
      <c r="W11" s="214"/>
      <c r="X11" s="216"/>
      <c r="Y11" s="376"/>
      <c r="Z11" s="378"/>
      <c r="AA11" s="376"/>
      <c r="AB11" s="378"/>
    </row>
    <row r="12" spans="1:28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120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28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28" ht="15.75" thickBot="1" x14ac:dyDescent="0.3">
      <c r="A14" s="491"/>
      <c r="B14" s="14" t="s">
        <v>25</v>
      </c>
      <c r="C14" s="39">
        <v>5812.44</v>
      </c>
      <c r="D14" s="1">
        <v>824.88</v>
      </c>
      <c r="E14" s="1">
        <v>1178.4000000000001</v>
      </c>
      <c r="F14" s="1">
        <v>3343.19</v>
      </c>
      <c r="G14" s="1">
        <v>644.98</v>
      </c>
      <c r="H14" s="199">
        <v>859.97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199">
        <v>0.11</v>
      </c>
      <c r="U14" s="200"/>
      <c r="V14" s="199" t="s">
        <v>122</v>
      </c>
      <c r="W14" s="200"/>
      <c r="X14" s="58"/>
      <c r="Y14" s="521"/>
      <c r="Z14" s="521"/>
      <c r="AA14" s="521"/>
      <c r="AB14" s="521"/>
    </row>
    <row r="15" spans="1:28" ht="15.75" thickBot="1" x14ac:dyDescent="0.3">
      <c r="A15" s="491"/>
      <c r="B15" s="14" t="s">
        <v>21</v>
      </c>
      <c r="C15" s="39">
        <v>6642.79</v>
      </c>
      <c r="D15" s="10">
        <v>942.72</v>
      </c>
      <c r="E15" s="1">
        <v>1178.4000000000001</v>
      </c>
      <c r="F15" s="1">
        <v>3566.07</v>
      </c>
      <c r="G15" s="1">
        <v>687.98</v>
      </c>
      <c r="H15" s="199">
        <v>860.97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199">
        <v>0.17</v>
      </c>
      <c r="U15" s="200"/>
      <c r="V15" s="199" t="s">
        <v>122</v>
      </c>
      <c r="W15" s="200"/>
      <c r="X15" s="58"/>
      <c r="Y15" s="521"/>
      <c r="Z15" s="521"/>
      <c r="AA15" s="521"/>
      <c r="AB15" s="521"/>
    </row>
    <row r="16" spans="1:28" ht="15.75" thickBot="1" x14ac:dyDescent="0.3">
      <c r="A16" s="491"/>
      <c r="B16" s="14" t="s">
        <v>24</v>
      </c>
      <c r="C16" s="39">
        <v>8303.49</v>
      </c>
      <c r="D16" s="1">
        <v>1178.4000000000001</v>
      </c>
      <c r="E16" s="1">
        <v>1178.4000000000001</v>
      </c>
      <c r="F16" s="1">
        <v>4457.59</v>
      </c>
      <c r="G16" s="1">
        <v>859.97</v>
      </c>
      <c r="H16" s="199">
        <v>861.97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199">
        <v>0.22</v>
      </c>
      <c r="U16" s="200"/>
      <c r="V16" s="199" t="s">
        <v>122</v>
      </c>
      <c r="W16" s="200"/>
      <c r="X16" s="58"/>
      <c r="Y16" s="521"/>
      <c r="Z16" s="521"/>
      <c r="AA16" s="521"/>
      <c r="AB16" s="521"/>
    </row>
    <row r="17" spans="1:28" ht="15.75" thickBot="1" x14ac:dyDescent="0.3">
      <c r="A17" s="491"/>
      <c r="B17" s="14" t="s">
        <v>22</v>
      </c>
      <c r="C17" s="39">
        <v>8303.49</v>
      </c>
      <c r="D17" s="1">
        <v>1178.4000000000001</v>
      </c>
      <c r="E17" s="1">
        <v>1178.4000000000001</v>
      </c>
      <c r="F17" s="1">
        <v>4457.59</v>
      </c>
      <c r="G17" s="1">
        <v>859.97</v>
      </c>
      <c r="H17" s="199">
        <v>862.97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199">
        <v>0.33</v>
      </c>
      <c r="U17" s="200"/>
      <c r="V17" s="199" t="s">
        <v>122</v>
      </c>
      <c r="W17" s="200"/>
      <c r="X17" s="58"/>
      <c r="Y17" s="469"/>
      <c r="Z17" s="470"/>
      <c r="AA17" s="469"/>
      <c r="AB17" s="470"/>
    </row>
    <row r="18" spans="1:28" ht="15.75" thickBot="1" x14ac:dyDescent="0.3">
      <c r="A18" s="491"/>
      <c r="B18" s="21" t="s">
        <v>23</v>
      </c>
      <c r="C18" s="39">
        <v>12455.24</v>
      </c>
      <c r="D18" s="22">
        <v>1767.6</v>
      </c>
      <c r="E18" s="22">
        <v>1767.6</v>
      </c>
      <c r="F18" s="22">
        <v>6686.39</v>
      </c>
      <c r="G18" s="22">
        <v>1289.96</v>
      </c>
      <c r="H18" s="308">
        <v>1289.96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199">
        <v>0.73</v>
      </c>
      <c r="U18" s="200"/>
      <c r="V18" s="199" t="s">
        <v>122</v>
      </c>
      <c r="W18" s="200"/>
      <c r="X18" s="58"/>
      <c r="Y18" s="373"/>
      <c r="Z18" s="375"/>
      <c r="AA18" s="373"/>
      <c r="AB18" s="375"/>
    </row>
    <row r="19" spans="1:28" x14ac:dyDescent="0.25">
      <c r="A19" s="491"/>
      <c r="B19" s="351" t="s">
        <v>26</v>
      </c>
      <c r="C19" s="215">
        <v>13285.58</v>
      </c>
      <c r="D19" s="215">
        <v>1885.44</v>
      </c>
      <c r="E19" s="215">
        <v>1885.44</v>
      </c>
      <c r="F19" s="215">
        <v>7132.14</v>
      </c>
      <c r="G19" s="215">
        <v>1375.95</v>
      </c>
      <c r="H19" s="207">
        <v>1375.95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0.73</v>
      </c>
      <c r="U19" s="297"/>
      <c r="V19" s="206" t="s">
        <v>122</v>
      </c>
      <c r="W19" s="208"/>
      <c r="X19" s="215"/>
      <c r="Y19" s="373"/>
      <c r="Z19" s="375"/>
      <c r="AA19" s="373"/>
      <c r="AB19" s="375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13"/>
      <c r="W20" s="214"/>
      <c r="X20" s="216"/>
      <c r="Y20" s="376"/>
      <c r="Z20" s="378"/>
      <c r="AA20" s="376"/>
      <c r="AB20" s="378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120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5812.44</v>
      </c>
      <c r="D23" s="1">
        <v>824.88</v>
      </c>
      <c r="E23" s="1">
        <v>1178.4000000000001</v>
      </c>
      <c r="F23" s="1">
        <v>3343.19</v>
      </c>
      <c r="G23" s="1">
        <v>644.98</v>
      </c>
      <c r="H23" s="199">
        <v>859.97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199">
        <v>0.11</v>
      </c>
      <c r="U23" s="200"/>
      <c r="V23" s="199" t="s">
        <v>122</v>
      </c>
      <c r="W23" s="200"/>
      <c r="X23" s="58"/>
      <c r="Y23" s="521"/>
      <c r="Z23" s="521"/>
      <c r="AA23" s="521"/>
      <c r="AB23" s="521"/>
    </row>
    <row r="24" spans="1:28" ht="15.75" thickBot="1" x14ac:dyDescent="0.3">
      <c r="A24" s="491"/>
      <c r="B24" s="14" t="s">
        <v>21</v>
      </c>
      <c r="C24" s="39">
        <v>6642.79</v>
      </c>
      <c r="D24" s="10">
        <v>942.72</v>
      </c>
      <c r="E24" s="1">
        <v>1178.4000000000001</v>
      </c>
      <c r="F24" s="1">
        <v>3566.07</v>
      </c>
      <c r="G24" s="1">
        <v>687.98</v>
      </c>
      <c r="H24" s="199">
        <v>860.97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199">
        <v>0.17</v>
      </c>
      <c r="U24" s="200"/>
      <c r="V24" s="199" t="s">
        <v>122</v>
      </c>
      <c r="W24" s="200"/>
      <c r="X24" s="58"/>
      <c r="Y24" s="521"/>
      <c r="Z24" s="521"/>
      <c r="AA24" s="521"/>
      <c r="AB24" s="521"/>
    </row>
    <row r="25" spans="1:28" ht="15.75" thickBot="1" x14ac:dyDescent="0.3">
      <c r="A25" s="491"/>
      <c r="B25" s="14" t="s">
        <v>24</v>
      </c>
      <c r="C25" s="39">
        <v>8303.49</v>
      </c>
      <c r="D25" s="1">
        <v>1178.4000000000001</v>
      </c>
      <c r="E25" s="1">
        <v>1178.4000000000001</v>
      </c>
      <c r="F25" s="1">
        <v>4457.59</v>
      </c>
      <c r="G25" s="1">
        <v>859.97</v>
      </c>
      <c r="H25" s="199">
        <v>861.97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199">
        <v>0.22</v>
      </c>
      <c r="U25" s="200"/>
      <c r="V25" s="199" t="s">
        <v>122</v>
      </c>
      <c r="W25" s="200"/>
      <c r="X25" s="58"/>
      <c r="Y25" s="521"/>
      <c r="Z25" s="521"/>
      <c r="AA25" s="521"/>
      <c r="AB25" s="521"/>
    </row>
    <row r="26" spans="1:28" ht="15.75" thickBot="1" x14ac:dyDescent="0.3">
      <c r="A26" s="491"/>
      <c r="B26" s="14" t="s">
        <v>22</v>
      </c>
      <c r="C26" s="39">
        <v>8303.49</v>
      </c>
      <c r="D26" s="1">
        <v>1178.4000000000001</v>
      </c>
      <c r="E26" s="1">
        <v>1178.4000000000001</v>
      </c>
      <c r="F26" s="1">
        <v>4457.59</v>
      </c>
      <c r="G26" s="1">
        <v>859.97</v>
      </c>
      <c r="H26" s="199">
        <v>862.97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199">
        <v>0.33</v>
      </c>
      <c r="U26" s="200"/>
      <c r="V26" s="199" t="s">
        <v>122</v>
      </c>
      <c r="W26" s="200"/>
      <c r="X26" s="58"/>
      <c r="Y26" s="469"/>
      <c r="Z26" s="470"/>
      <c r="AA26" s="469"/>
      <c r="AB26" s="470"/>
    </row>
    <row r="27" spans="1:28" ht="15.75" thickBot="1" x14ac:dyDescent="0.3">
      <c r="A27" s="491"/>
      <c r="B27" s="21" t="s">
        <v>23</v>
      </c>
      <c r="C27" s="39">
        <v>12455.24</v>
      </c>
      <c r="D27" s="22">
        <v>1767.6</v>
      </c>
      <c r="E27" s="22">
        <v>1767.6</v>
      </c>
      <c r="F27" s="22">
        <v>6686.39</v>
      </c>
      <c r="G27" s="22">
        <v>1289.96</v>
      </c>
      <c r="H27" s="308">
        <v>1289.96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199">
        <v>0.73</v>
      </c>
      <c r="U27" s="200"/>
      <c r="V27" s="199" t="s">
        <v>122</v>
      </c>
      <c r="W27" s="200"/>
      <c r="X27" s="58"/>
      <c r="Y27" s="373"/>
      <c r="Z27" s="375"/>
      <c r="AA27" s="373"/>
      <c r="AB27" s="375"/>
    </row>
    <row r="28" spans="1:28" x14ac:dyDescent="0.25">
      <c r="A28" s="491"/>
      <c r="B28" s="351" t="s">
        <v>26</v>
      </c>
      <c r="C28" s="215">
        <v>13285.58</v>
      </c>
      <c r="D28" s="215">
        <v>1885.44</v>
      </c>
      <c r="E28" s="215">
        <v>1885.44</v>
      </c>
      <c r="F28" s="215">
        <v>7132.14</v>
      </c>
      <c r="G28" s="215">
        <v>1375.95</v>
      </c>
      <c r="H28" s="207">
        <v>1375.95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0.73</v>
      </c>
      <c r="U28" s="297"/>
      <c r="V28" s="206" t="s">
        <v>122</v>
      </c>
      <c r="W28" s="208"/>
      <c r="X28" s="215"/>
      <c r="Y28" s="373"/>
      <c r="Z28" s="375"/>
      <c r="AA28" s="373"/>
      <c r="AB28" s="375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13"/>
      <c r="W29" s="214"/>
      <c r="X29" s="216"/>
      <c r="Y29" s="376"/>
      <c r="Z29" s="378"/>
      <c r="AA29" s="376"/>
      <c r="AB29" s="378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120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5812.44</v>
      </c>
      <c r="D32" s="1">
        <v>824.88</v>
      </c>
      <c r="E32" s="1">
        <v>1178.4000000000001</v>
      </c>
      <c r="F32" s="1">
        <v>3343.19</v>
      </c>
      <c r="G32" s="1">
        <v>644.98</v>
      </c>
      <c r="H32" s="199">
        <v>859.97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199">
        <v>0.11</v>
      </c>
      <c r="U32" s="200"/>
      <c r="V32" s="199" t="s">
        <v>122</v>
      </c>
      <c r="W32" s="200"/>
      <c r="X32" s="58"/>
      <c r="Y32" s="521"/>
      <c r="Z32" s="521"/>
      <c r="AA32" s="521"/>
      <c r="AB32" s="521"/>
    </row>
    <row r="33" spans="1:28" ht="15.75" thickBot="1" x14ac:dyDescent="0.3">
      <c r="A33" s="491"/>
      <c r="B33" s="14" t="s">
        <v>21</v>
      </c>
      <c r="C33" s="39">
        <v>6642.79</v>
      </c>
      <c r="D33" s="10">
        <v>942.72</v>
      </c>
      <c r="E33" s="1">
        <v>1178.4000000000001</v>
      </c>
      <c r="F33" s="1">
        <v>3566.07</v>
      </c>
      <c r="G33" s="1">
        <v>687.98</v>
      </c>
      <c r="H33" s="199">
        <v>860.97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199">
        <v>0.17</v>
      </c>
      <c r="U33" s="200"/>
      <c r="V33" s="199" t="s">
        <v>122</v>
      </c>
      <c r="W33" s="200"/>
      <c r="X33" s="58"/>
      <c r="Y33" s="521"/>
      <c r="Z33" s="521"/>
      <c r="AA33" s="521"/>
      <c r="AB33" s="521"/>
    </row>
    <row r="34" spans="1:28" ht="15.75" thickBot="1" x14ac:dyDescent="0.3">
      <c r="A34" s="491"/>
      <c r="B34" s="14" t="s">
        <v>24</v>
      </c>
      <c r="C34" s="39">
        <v>8303.49</v>
      </c>
      <c r="D34" s="1">
        <v>1178.4000000000001</v>
      </c>
      <c r="E34" s="1">
        <v>1178.4000000000001</v>
      </c>
      <c r="F34" s="1">
        <v>4457.59</v>
      </c>
      <c r="G34" s="1">
        <v>859.97</v>
      </c>
      <c r="H34" s="199">
        <v>861.97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199">
        <v>0.22</v>
      </c>
      <c r="U34" s="200"/>
      <c r="V34" s="199" t="s">
        <v>122</v>
      </c>
      <c r="W34" s="200"/>
      <c r="X34" s="58"/>
      <c r="Y34" s="521"/>
      <c r="Z34" s="521"/>
      <c r="AA34" s="521"/>
      <c r="AB34" s="521"/>
    </row>
    <row r="35" spans="1:28" ht="15.75" thickBot="1" x14ac:dyDescent="0.3">
      <c r="A35" s="491"/>
      <c r="B35" s="14" t="s">
        <v>22</v>
      </c>
      <c r="C35" s="39">
        <v>8303.49</v>
      </c>
      <c r="D35" s="1">
        <v>1178.4000000000001</v>
      </c>
      <c r="E35" s="1">
        <v>1178.4000000000001</v>
      </c>
      <c r="F35" s="1">
        <v>4457.59</v>
      </c>
      <c r="G35" s="1">
        <v>859.97</v>
      </c>
      <c r="H35" s="199">
        <v>862.97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199">
        <v>0.33</v>
      </c>
      <c r="U35" s="200"/>
      <c r="V35" s="199" t="s">
        <v>122</v>
      </c>
      <c r="W35" s="200"/>
      <c r="X35" s="58"/>
      <c r="Y35" s="469"/>
      <c r="Z35" s="470"/>
      <c r="AA35" s="469"/>
      <c r="AB35" s="470"/>
    </row>
    <row r="36" spans="1:28" ht="15.75" thickBot="1" x14ac:dyDescent="0.3">
      <c r="A36" s="491"/>
      <c r="B36" s="21" t="s">
        <v>23</v>
      </c>
      <c r="C36" s="39">
        <v>12455.24</v>
      </c>
      <c r="D36" s="22">
        <v>1767.6</v>
      </c>
      <c r="E36" s="22">
        <v>1767.6</v>
      </c>
      <c r="F36" s="22">
        <v>6686.39</v>
      </c>
      <c r="G36" s="22">
        <v>1289.96</v>
      </c>
      <c r="H36" s="308">
        <v>1289.96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199">
        <v>0.73</v>
      </c>
      <c r="U36" s="200"/>
      <c r="V36" s="199" t="s">
        <v>122</v>
      </c>
      <c r="W36" s="200"/>
      <c r="X36" s="58"/>
      <c r="Y36" s="373"/>
      <c r="Z36" s="375"/>
      <c r="AA36" s="373"/>
      <c r="AB36" s="375"/>
    </row>
    <row r="37" spans="1:28" x14ac:dyDescent="0.25">
      <c r="A37" s="491"/>
      <c r="B37" s="351" t="s">
        <v>26</v>
      </c>
      <c r="C37" s="215">
        <v>13285.58</v>
      </c>
      <c r="D37" s="215">
        <v>1885.44</v>
      </c>
      <c r="E37" s="215">
        <v>1885.44</v>
      </c>
      <c r="F37" s="215">
        <v>7132.14</v>
      </c>
      <c r="G37" s="215">
        <v>1375.95</v>
      </c>
      <c r="H37" s="207">
        <v>1375.95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0.73</v>
      </c>
      <c r="U37" s="297"/>
      <c r="V37" s="206" t="s">
        <v>122</v>
      </c>
      <c r="W37" s="208"/>
      <c r="X37" s="215"/>
      <c r="Y37" s="373"/>
      <c r="Z37" s="375"/>
      <c r="AA37" s="373"/>
      <c r="AB37" s="375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13"/>
      <c r="W38" s="214"/>
      <c r="X38" s="216"/>
      <c r="Y38" s="376"/>
      <c r="Z38" s="378"/>
      <c r="AA38" s="376"/>
      <c r="AB38" s="378"/>
    </row>
    <row r="39" spans="1:28" ht="15.75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  <row r="49" spans="2:2" x14ac:dyDescent="0.25">
      <c r="B49" t="s">
        <v>178</v>
      </c>
    </row>
    <row r="50" spans="2:2" x14ac:dyDescent="0.25">
      <c r="B50" s="57" t="s">
        <v>117</v>
      </c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Y35:Z38"/>
    <mergeCell ref="AA35:AB38"/>
    <mergeCell ref="X37:X38"/>
    <mergeCell ref="A1:W1"/>
    <mergeCell ref="B2:E2"/>
    <mergeCell ref="F2:I2"/>
    <mergeCell ref="J2:O2"/>
    <mergeCell ref="P2:S2"/>
    <mergeCell ref="T2:W2"/>
    <mergeCell ref="P5:Q5"/>
    <mergeCell ref="H6:I6"/>
    <mergeCell ref="P6:Q6"/>
    <mergeCell ref="A3:A11"/>
    <mergeCell ref="B3:B4"/>
    <mergeCell ref="C3:C4"/>
    <mergeCell ref="D3:E3"/>
    <mergeCell ref="F3:F4"/>
    <mergeCell ref="V8:W8"/>
    <mergeCell ref="T9:U9"/>
    <mergeCell ref="V9:W9"/>
    <mergeCell ref="H7:I7"/>
    <mergeCell ref="P7:Q7"/>
    <mergeCell ref="J3:L3"/>
    <mergeCell ref="M3:O3"/>
    <mergeCell ref="P3:Q4"/>
    <mergeCell ref="R3:S3"/>
    <mergeCell ref="T3:W4"/>
    <mergeCell ref="H4:I4"/>
    <mergeCell ref="G3:I3"/>
    <mergeCell ref="H5:I5"/>
    <mergeCell ref="T5:U5"/>
    <mergeCell ref="T6:U6"/>
    <mergeCell ref="T7:U7"/>
    <mergeCell ref="V5:W5"/>
    <mergeCell ref="V6:W6"/>
    <mergeCell ref="V7:W7"/>
    <mergeCell ref="P8:Q8"/>
    <mergeCell ref="H9:I9"/>
    <mergeCell ref="P9:Q9"/>
    <mergeCell ref="B10:B11"/>
    <mergeCell ref="C10:C11"/>
    <mergeCell ref="D10:D11"/>
    <mergeCell ref="E10:E11"/>
    <mergeCell ref="F10:F11"/>
    <mergeCell ref="H8:I8"/>
    <mergeCell ref="G10:G11"/>
    <mergeCell ref="H10:I11"/>
    <mergeCell ref="K10:K11"/>
    <mergeCell ref="L10:L11"/>
    <mergeCell ref="T8:U8"/>
    <mergeCell ref="A12:A20"/>
    <mergeCell ref="B12:B13"/>
    <mergeCell ref="C12:C13"/>
    <mergeCell ref="D12:E12"/>
    <mergeCell ref="F12:F13"/>
    <mergeCell ref="G12:I12"/>
    <mergeCell ref="H16:I16"/>
    <mergeCell ref="H18:I18"/>
    <mergeCell ref="M12:O12"/>
    <mergeCell ref="J12:L12"/>
    <mergeCell ref="P12:Q13"/>
    <mergeCell ref="R12:S12"/>
    <mergeCell ref="T12:W13"/>
    <mergeCell ref="H13:I13"/>
    <mergeCell ref="P10:Q11"/>
    <mergeCell ref="R10:R11"/>
    <mergeCell ref="S10:S11"/>
    <mergeCell ref="M10:M11"/>
    <mergeCell ref="N10:N11"/>
    <mergeCell ref="O10:O11"/>
    <mergeCell ref="T10:U11"/>
    <mergeCell ref="V10:W11"/>
    <mergeCell ref="J10:J11"/>
    <mergeCell ref="P16:Q16"/>
    <mergeCell ref="H17:I17"/>
    <mergeCell ref="P17:Q17"/>
    <mergeCell ref="H14:I14"/>
    <mergeCell ref="P14:Q14"/>
    <mergeCell ref="H15:I15"/>
    <mergeCell ref="P15:Q15"/>
    <mergeCell ref="T14:U14"/>
    <mergeCell ref="V14:W14"/>
    <mergeCell ref="T15:U15"/>
    <mergeCell ref="V15:W15"/>
    <mergeCell ref="T16:U16"/>
    <mergeCell ref="V16:W16"/>
    <mergeCell ref="T17:U17"/>
    <mergeCell ref="V17:W17"/>
    <mergeCell ref="T19:U20"/>
    <mergeCell ref="V19:W20"/>
    <mergeCell ref="P18:Q18"/>
    <mergeCell ref="B19:B20"/>
    <mergeCell ref="C19:C20"/>
    <mergeCell ref="D19:D20"/>
    <mergeCell ref="E19:E20"/>
    <mergeCell ref="F19:F20"/>
    <mergeCell ref="G19:G20"/>
    <mergeCell ref="H19:I20"/>
    <mergeCell ref="T18:U18"/>
    <mergeCell ref="V18:W18"/>
    <mergeCell ref="P19:Q20"/>
    <mergeCell ref="R19:R20"/>
    <mergeCell ref="S19:S20"/>
    <mergeCell ref="J19:J20"/>
    <mergeCell ref="K19:K20"/>
    <mergeCell ref="L19:L20"/>
    <mergeCell ref="M19:M20"/>
    <mergeCell ref="N19:N20"/>
    <mergeCell ref="O19:O20"/>
    <mergeCell ref="P23:Q23"/>
    <mergeCell ref="H24:I24"/>
    <mergeCell ref="P24:Q24"/>
    <mergeCell ref="J21:L21"/>
    <mergeCell ref="M21:O21"/>
    <mergeCell ref="P21:Q22"/>
    <mergeCell ref="R21:S21"/>
    <mergeCell ref="T21:W22"/>
    <mergeCell ref="H22:I22"/>
    <mergeCell ref="T23:U23"/>
    <mergeCell ref="V23:W23"/>
    <mergeCell ref="T24:U24"/>
    <mergeCell ref="V24:W24"/>
    <mergeCell ref="B28:B29"/>
    <mergeCell ref="C28:C29"/>
    <mergeCell ref="D28:D29"/>
    <mergeCell ref="E28:E29"/>
    <mergeCell ref="F28:F29"/>
    <mergeCell ref="G28:G29"/>
    <mergeCell ref="H28:I29"/>
    <mergeCell ref="H25:I25"/>
    <mergeCell ref="P25:Q25"/>
    <mergeCell ref="H26:I26"/>
    <mergeCell ref="P26:Q26"/>
    <mergeCell ref="T25:U25"/>
    <mergeCell ref="V25:W25"/>
    <mergeCell ref="T26:U26"/>
    <mergeCell ref="V26:W26"/>
    <mergeCell ref="T27:U27"/>
    <mergeCell ref="A30:A38"/>
    <mergeCell ref="B30:B31"/>
    <mergeCell ref="C30:C31"/>
    <mergeCell ref="D30:E30"/>
    <mergeCell ref="F30:F31"/>
    <mergeCell ref="G30:I30"/>
    <mergeCell ref="J28:J29"/>
    <mergeCell ref="K28:K29"/>
    <mergeCell ref="L28:L29"/>
    <mergeCell ref="A21:A29"/>
    <mergeCell ref="B21:B22"/>
    <mergeCell ref="C21:C22"/>
    <mergeCell ref="D21:E21"/>
    <mergeCell ref="F21:F22"/>
    <mergeCell ref="J30:L30"/>
    <mergeCell ref="H34:I34"/>
    <mergeCell ref="H36:I36"/>
    <mergeCell ref="H27:I27"/>
    <mergeCell ref="H23:I23"/>
    <mergeCell ref="H35:I35"/>
    <mergeCell ref="G21:I21"/>
    <mergeCell ref="M30:O30"/>
    <mergeCell ref="P30:Q31"/>
    <mergeCell ref="R30:S30"/>
    <mergeCell ref="T30:W31"/>
    <mergeCell ref="H31:I31"/>
    <mergeCell ref="P28:Q29"/>
    <mergeCell ref="R28:R29"/>
    <mergeCell ref="S28:S29"/>
    <mergeCell ref="M28:M29"/>
    <mergeCell ref="N28:N29"/>
    <mergeCell ref="O28:O29"/>
    <mergeCell ref="T28:U29"/>
    <mergeCell ref="P35:Q35"/>
    <mergeCell ref="H32:I32"/>
    <mergeCell ref="P32:Q32"/>
    <mergeCell ref="H33:I33"/>
    <mergeCell ref="P33:Q33"/>
    <mergeCell ref="T32:U32"/>
    <mergeCell ref="V32:W32"/>
    <mergeCell ref="T33:U33"/>
    <mergeCell ref="V33:W33"/>
    <mergeCell ref="T34:U34"/>
    <mergeCell ref="B37:B38"/>
    <mergeCell ref="C37:C38"/>
    <mergeCell ref="D37:D38"/>
    <mergeCell ref="E37:E38"/>
    <mergeCell ref="F37:F38"/>
    <mergeCell ref="G37:G38"/>
    <mergeCell ref="H37:I38"/>
    <mergeCell ref="P37:Q38"/>
    <mergeCell ref="R37:R38"/>
    <mergeCell ref="J37:J38"/>
    <mergeCell ref="K37:K38"/>
    <mergeCell ref="L37:L38"/>
    <mergeCell ref="M37:M38"/>
    <mergeCell ref="N37:N38"/>
    <mergeCell ref="O37:O38"/>
    <mergeCell ref="T36:U36"/>
    <mergeCell ref="V36:W36"/>
    <mergeCell ref="P34:Q34"/>
    <mergeCell ref="V34:W34"/>
    <mergeCell ref="T35:U35"/>
    <mergeCell ref="V35:W35"/>
    <mergeCell ref="V27:W27"/>
    <mergeCell ref="T37:U38"/>
    <mergeCell ref="V28:W29"/>
    <mergeCell ref="V37:W38"/>
    <mergeCell ref="P36:Q36"/>
    <mergeCell ref="S37:S38"/>
    <mergeCell ref="P27:Q27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8:Z11"/>
    <mergeCell ref="AA8:AB11"/>
    <mergeCell ref="X10:X11"/>
    <mergeCell ref="X12:X13"/>
    <mergeCell ref="Y12:Z13"/>
    <mergeCell ref="AA12:AB13"/>
    <mergeCell ref="Y14:Z14"/>
    <mergeCell ref="AA14:AB14"/>
    <mergeCell ref="Y15:Z15"/>
    <mergeCell ref="AA15:AB15"/>
    <mergeCell ref="X28:X29"/>
    <mergeCell ref="X30:X31"/>
    <mergeCell ref="Y30:Z31"/>
    <mergeCell ref="AA30:AB31"/>
    <mergeCell ref="Y16:Z16"/>
    <mergeCell ref="AA16:AB16"/>
    <mergeCell ref="Y17:Z20"/>
    <mergeCell ref="AA17:AB20"/>
    <mergeCell ref="X19:X20"/>
    <mergeCell ref="X21:X22"/>
    <mergeCell ref="Y21:Z22"/>
    <mergeCell ref="AA21:AB22"/>
    <mergeCell ref="Y23:Z23"/>
    <mergeCell ref="AA23:AB23"/>
    <mergeCell ref="Y32:Z32"/>
    <mergeCell ref="AA32:AB32"/>
    <mergeCell ref="Y33:Z33"/>
    <mergeCell ref="AA33:AB33"/>
    <mergeCell ref="Y34:Z34"/>
    <mergeCell ref="Y24:Z24"/>
    <mergeCell ref="AA24:AB24"/>
    <mergeCell ref="Y25:Z25"/>
    <mergeCell ref="AA25:AB25"/>
    <mergeCell ref="Y26:Z29"/>
    <mergeCell ref="AA26:AB29"/>
    <mergeCell ref="AA34:AB34"/>
  </mergeCells>
  <conditionalFormatting sqref="B5:E5 B14 B23 B32 C6:C9 E6:E8">
    <cfRule type="expression" dxfId="369" priority="316">
      <formula>#REF!=1</formula>
    </cfRule>
  </conditionalFormatting>
  <conditionalFormatting sqref="B6 D6 B15 B24 B33">
    <cfRule type="expression" dxfId="368" priority="315">
      <formula>#REF!=2</formula>
    </cfRule>
  </conditionalFormatting>
  <conditionalFormatting sqref="B7 B16 B25 B34 D7:D8">
    <cfRule type="expression" dxfId="367" priority="314">
      <formula>#REF!=3</formula>
    </cfRule>
  </conditionalFormatting>
  <conditionalFormatting sqref="B8 B17 B26 B35">
    <cfRule type="expression" dxfId="366" priority="313">
      <formula>#REF!=4</formula>
    </cfRule>
  </conditionalFormatting>
  <conditionalFormatting sqref="B9 B18 B27 B36 D9:E9">
    <cfRule type="expression" dxfId="365" priority="312">
      <formula>#REF!=5</formula>
    </cfRule>
  </conditionalFormatting>
  <conditionalFormatting sqref="B10:D10 B19 B28 B37">
    <cfRule type="expression" dxfId="364" priority="311">
      <formula>#REF!=6</formula>
    </cfRule>
  </conditionalFormatting>
  <conditionalFormatting sqref="D4 D13 D22 D31">
    <cfRule type="expression" dxfId="363" priority="310">
      <formula>#REF!&gt;0</formula>
    </cfRule>
  </conditionalFormatting>
  <conditionalFormatting sqref="E4 E13 E22 E31">
    <cfRule type="expression" dxfId="362" priority="309">
      <formula>#REF!&gt;0</formula>
    </cfRule>
  </conditionalFormatting>
  <conditionalFormatting sqref="F5:H5 H6:H8">
    <cfRule type="expression" dxfId="361" priority="308">
      <formula>#REF!=1</formula>
    </cfRule>
  </conditionalFormatting>
  <conditionalFormatting sqref="F6:G6">
    <cfRule type="expression" dxfId="360" priority="307">
      <formula>#REF!=2</formula>
    </cfRule>
  </conditionalFormatting>
  <conditionalFormatting sqref="F7:G8">
    <cfRule type="expression" dxfId="359" priority="306">
      <formula>#REF!=3</formula>
    </cfRule>
  </conditionalFormatting>
  <conditionalFormatting sqref="F9:H9">
    <cfRule type="expression" dxfId="358" priority="304">
      <formula>#REF!=5</formula>
    </cfRule>
  </conditionalFormatting>
  <conditionalFormatting sqref="F10:G10">
    <cfRule type="expression" dxfId="357" priority="303">
      <formula>#REF!=6</formula>
    </cfRule>
  </conditionalFormatting>
  <conditionalFormatting sqref="G4 G13 G22 G31">
    <cfRule type="expression" dxfId="356" priority="302">
      <formula>#REF!&gt;0</formula>
    </cfRule>
  </conditionalFormatting>
  <conditionalFormatting sqref="H4 H13 H22 H31">
    <cfRule type="expression" dxfId="355" priority="301">
      <formula>#REF!&gt;0</formula>
    </cfRule>
  </conditionalFormatting>
  <conditionalFormatting sqref="H10">
    <cfRule type="expression" dxfId="354" priority="300">
      <formula>#REF!=6</formula>
    </cfRule>
  </conditionalFormatting>
  <conditionalFormatting sqref="E10">
    <cfRule type="expression" dxfId="353" priority="197">
      <formula>#REF!=6</formula>
    </cfRule>
  </conditionalFormatting>
  <conditionalFormatting sqref="C14:E14 C15:C18 E15:E17">
    <cfRule type="expression" dxfId="352" priority="196">
      <formula>#REF!=1</formula>
    </cfRule>
  </conditionalFormatting>
  <conditionalFormatting sqref="D15">
    <cfRule type="expression" dxfId="351" priority="195">
      <formula>#REF!=2</formula>
    </cfRule>
  </conditionalFormatting>
  <conditionalFormatting sqref="D16:D17">
    <cfRule type="expression" dxfId="350" priority="194">
      <formula>#REF!=3</formula>
    </cfRule>
  </conditionalFormatting>
  <conditionalFormatting sqref="D18:E18">
    <cfRule type="expression" dxfId="349" priority="193">
      <formula>#REF!=5</formula>
    </cfRule>
  </conditionalFormatting>
  <conditionalFormatting sqref="C19:D19">
    <cfRule type="expression" dxfId="348" priority="192">
      <formula>#REF!=6</formula>
    </cfRule>
  </conditionalFormatting>
  <conditionalFormatting sqref="F14:H14 H15:H17">
    <cfRule type="expression" dxfId="347" priority="191">
      <formula>#REF!=1</formula>
    </cfRule>
  </conditionalFormatting>
  <conditionalFormatting sqref="F15:G15">
    <cfRule type="expression" dxfId="346" priority="190">
      <formula>#REF!=2</formula>
    </cfRule>
  </conditionalFormatting>
  <conditionalFormatting sqref="F16:G17">
    <cfRule type="expression" dxfId="345" priority="189">
      <formula>#REF!=3</formula>
    </cfRule>
  </conditionalFormatting>
  <conditionalFormatting sqref="F18:H18">
    <cfRule type="expression" dxfId="344" priority="188">
      <formula>#REF!=5</formula>
    </cfRule>
  </conditionalFormatting>
  <conditionalFormatting sqref="F19:G19">
    <cfRule type="expression" dxfId="343" priority="187">
      <formula>#REF!=6</formula>
    </cfRule>
  </conditionalFormatting>
  <conditionalFormatting sqref="H19">
    <cfRule type="expression" dxfId="342" priority="186">
      <formula>#REF!=6</formula>
    </cfRule>
  </conditionalFormatting>
  <conditionalFormatting sqref="E19">
    <cfRule type="expression" dxfId="341" priority="185">
      <formula>#REF!=6</formula>
    </cfRule>
  </conditionalFormatting>
  <conditionalFormatting sqref="C23:E23 C24:C27 E24:E26">
    <cfRule type="expression" dxfId="340" priority="184">
      <formula>#REF!=1</formula>
    </cfRule>
  </conditionalFormatting>
  <conditionalFormatting sqref="D24">
    <cfRule type="expression" dxfId="339" priority="183">
      <formula>#REF!=2</formula>
    </cfRule>
  </conditionalFormatting>
  <conditionalFormatting sqref="D25:D26">
    <cfRule type="expression" dxfId="338" priority="182">
      <formula>#REF!=3</formula>
    </cfRule>
  </conditionalFormatting>
  <conditionalFormatting sqref="D27:E27">
    <cfRule type="expression" dxfId="337" priority="181">
      <formula>#REF!=5</formula>
    </cfRule>
  </conditionalFormatting>
  <conditionalFormatting sqref="C28:D28">
    <cfRule type="expression" dxfId="336" priority="180">
      <formula>#REF!=6</formula>
    </cfRule>
  </conditionalFormatting>
  <conditionalFormatting sqref="F23:H23 H24:H26">
    <cfRule type="expression" dxfId="335" priority="179">
      <formula>#REF!=1</formula>
    </cfRule>
  </conditionalFormatting>
  <conditionalFormatting sqref="F24:G24">
    <cfRule type="expression" dxfId="334" priority="178">
      <formula>#REF!=2</formula>
    </cfRule>
  </conditionalFormatting>
  <conditionalFormatting sqref="F25:G26">
    <cfRule type="expression" dxfId="333" priority="177">
      <formula>#REF!=3</formula>
    </cfRule>
  </conditionalFormatting>
  <conditionalFormatting sqref="F27:H27">
    <cfRule type="expression" dxfId="332" priority="176">
      <formula>#REF!=5</formula>
    </cfRule>
  </conditionalFormatting>
  <conditionalFormatting sqref="F28:G28">
    <cfRule type="expression" dxfId="331" priority="175">
      <formula>#REF!=6</formula>
    </cfRule>
  </conditionalFormatting>
  <conditionalFormatting sqref="H28">
    <cfRule type="expression" dxfId="330" priority="174">
      <formula>#REF!=6</formula>
    </cfRule>
  </conditionalFormatting>
  <conditionalFormatting sqref="E28">
    <cfRule type="expression" dxfId="329" priority="173">
      <formula>#REF!=6</formula>
    </cfRule>
  </conditionalFormatting>
  <conditionalFormatting sqref="C32:E32 C33:C36 E33:E35">
    <cfRule type="expression" dxfId="328" priority="172">
      <formula>#REF!=1</formula>
    </cfRule>
  </conditionalFormatting>
  <conditionalFormatting sqref="D33">
    <cfRule type="expression" dxfId="327" priority="171">
      <formula>#REF!=2</formula>
    </cfRule>
  </conditionalFormatting>
  <conditionalFormatting sqref="D34:D35">
    <cfRule type="expression" dxfId="326" priority="170">
      <formula>#REF!=3</formula>
    </cfRule>
  </conditionalFormatting>
  <conditionalFormatting sqref="D36:E36">
    <cfRule type="expression" dxfId="325" priority="169">
      <formula>#REF!=5</formula>
    </cfRule>
  </conditionalFormatting>
  <conditionalFormatting sqref="C37:D37">
    <cfRule type="expression" dxfId="324" priority="168">
      <formula>#REF!=6</formula>
    </cfRule>
  </conditionalFormatting>
  <conditionalFormatting sqref="F32:H32 H33:H35">
    <cfRule type="expression" dxfId="323" priority="167">
      <formula>#REF!=1</formula>
    </cfRule>
  </conditionalFormatting>
  <conditionalFormatting sqref="F33:G33">
    <cfRule type="expression" dxfId="322" priority="166">
      <formula>#REF!=2</formula>
    </cfRule>
  </conditionalFormatting>
  <conditionalFormatting sqref="F34:G35">
    <cfRule type="expression" dxfId="321" priority="165">
      <formula>#REF!=3</formula>
    </cfRule>
  </conditionalFormatting>
  <conditionalFormatting sqref="F36:H36">
    <cfRule type="expression" dxfId="320" priority="164">
      <formula>#REF!=5</formula>
    </cfRule>
  </conditionalFormatting>
  <conditionalFormatting sqref="F37:G37">
    <cfRule type="expression" dxfId="319" priority="163">
      <formula>#REF!=6</formula>
    </cfRule>
  </conditionalFormatting>
  <conditionalFormatting sqref="H37">
    <cfRule type="expression" dxfId="318" priority="162">
      <formula>#REF!=6</formula>
    </cfRule>
  </conditionalFormatting>
  <conditionalFormatting sqref="E37">
    <cfRule type="expression" dxfId="317" priority="161">
      <formula>#REF!=6</formula>
    </cfRule>
  </conditionalFormatting>
  <conditionalFormatting sqref="T5:T10 V5:V10">
    <cfRule type="expression" dxfId="316" priority="142">
      <formula>$C$58=1</formula>
    </cfRule>
  </conditionalFormatting>
  <conditionalFormatting sqref="T14:T19">
    <cfRule type="expression" dxfId="315" priority="138">
      <formula>$C$58=1</formula>
    </cfRule>
  </conditionalFormatting>
  <conditionalFormatting sqref="T23:T28">
    <cfRule type="expression" dxfId="314" priority="137">
      <formula>$C$58=1</formula>
    </cfRule>
  </conditionalFormatting>
  <conditionalFormatting sqref="T32:T37">
    <cfRule type="expression" dxfId="313" priority="136">
      <formula>$C$58=1</formula>
    </cfRule>
  </conditionalFormatting>
  <conditionalFormatting sqref="V14:V19">
    <cfRule type="expression" dxfId="312" priority="135">
      <formula>$C$58=1</formula>
    </cfRule>
  </conditionalFormatting>
  <conditionalFormatting sqref="V23:V28">
    <cfRule type="expression" dxfId="311" priority="134">
      <formula>$C$58=1</formula>
    </cfRule>
  </conditionalFormatting>
  <conditionalFormatting sqref="V32:V37">
    <cfRule type="expression" dxfId="310" priority="133">
      <formula>$C$58=1</formula>
    </cfRule>
  </conditionalFormatting>
  <conditionalFormatting sqref="S4">
    <cfRule type="expression" dxfId="309" priority="132">
      <formula>$J$45&gt;0</formula>
    </cfRule>
  </conditionalFormatting>
  <conditionalFormatting sqref="R4">
    <cfRule type="expression" dxfId="308" priority="131">
      <formula>$J$42&gt;0</formula>
    </cfRule>
  </conditionalFormatting>
  <conditionalFormatting sqref="S13">
    <cfRule type="expression" dxfId="307" priority="130">
      <formula>$J$45&gt;0</formula>
    </cfRule>
  </conditionalFormatting>
  <conditionalFormatting sqref="R13">
    <cfRule type="expression" dxfId="306" priority="129">
      <formula>$J$42&gt;0</formula>
    </cfRule>
  </conditionalFormatting>
  <conditionalFormatting sqref="S22">
    <cfRule type="expression" dxfId="305" priority="128">
      <formula>$J$45&gt;0</formula>
    </cfRule>
  </conditionalFormatting>
  <conditionalFormatting sqref="R22">
    <cfRule type="expression" dxfId="304" priority="127">
      <formula>$J$42&gt;0</formula>
    </cfRule>
  </conditionalFormatting>
  <conditionalFormatting sqref="S31">
    <cfRule type="expression" dxfId="303" priority="126">
      <formula>$J$45&gt;0</formula>
    </cfRule>
  </conditionalFormatting>
  <conditionalFormatting sqref="R31">
    <cfRule type="expression" dxfId="302" priority="125">
      <formula>$J$42&gt;0</formula>
    </cfRule>
  </conditionalFormatting>
  <conditionalFormatting sqref="P5:S9">
    <cfRule type="expression" dxfId="301" priority="124">
      <formula>$C$42=1</formula>
    </cfRule>
  </conditionalFormatting>
  <conditionalFormatting sqref="S10">
    <cfRule type="expression" dxfId="300" priority="123">
      <formula>$C$26=5</formula>
    </cfRule>
  </conditionalFormatting>
  <conditionalFormatting sqref="R10:S10 P10">
    <cfRule type="expression" dxfId="299" priority="122">
      <formula>$C$42=6</formula>
    </cfRule>
  </conditionalFormatting>
  <conditionalFormatting sqref="P14:S18">
    <cfRule type="expression" dxfId="298" priority="121">
      <formula>$C$42=1</formula>
    </cfRule>
  </conditionalFormatting>
  <conditionalFormatting sqref="S19">
    <cfRule type="expression" dxfId="297" priority="120">
      <formula>$C$26=5</formula>
    </cfRule>
  </conditionalFormatting>
  <conditionalFormatting sqref="R19:S19 P19">
    <cfRule type="expression" dxfId="296" priority="119">
      <formula>$C$42=6</formula>
    </cfRule>
  </conditionalFormatting>
  <conditionalFormatting sqref="P23:Q23">
    <cfRule type="expression" dxfId="295" priority="118">
      <formula>$C$42=1</formula>
    </cfRule>
  </conditionalFormatting>
  <conditionalFormatting sqref="P24:Q24">
    <cfRule type="expression" dxfId="294" priority="117">
      <formula>$C$42=2</formula>
    </cfRule>
  </conditionalFormatting>
  <conditionalFormatting sqref="P25:Q25">
    <cfRule type="expression" dxfId="293" priority="116">
      <formula>$C$42=3</formula>
    </cfRule>
  </conditionalFormatting>
  <conditionalFormatting sqref="P26:Q26">
    <cfRule type="expression" dxfId="292" priority="115">
      <formula>$C$42=4</formula>
    </cfRule>
  </conditionalFormatting>
  <conditionalFormatting sqref="P27:Q27">
    <cfRule type="expression" dxfId="291" priority="114">
      <formula>$C$42=5</formula>
    </cfRule>
  </conditionalFormatting>
  <conditionalFormatting sqref="P28">
    <cfRule type="expression" dxfId="290" priority="113">
      <formula>$C$42=6</formula>
    </cfRule>
  </conditionalFormatting>
  <conditionalFormatting sqref="R23">
    <cfRule type="expression" dxfId="289" priority="112">
      <formula>$C$42=1</formula>
    </cfRule>
  </conditionalFormatting>
  <conditionalFormatting sqref="R24">
    <cfRule type="expression" dxfId="288" priority="111">
      <formula>$C$42=2</formula>
    </cfRule>
  </conditionalFormatting>
  <conditionalFormatting sqref="R25">
    <cfRule type="expression" dxfId="287" priority="110">
      <formula>$C$42=3</formula>
    </cfRule>
  </conditionalFormatting>
  <conditionalFormatting sqref="R26">
    <cfRule type="expression" dxfId="286" priority="109">
      <formula>$C$42=4</formula>
    </cfRule>
  </conditionalFormatting>
  <conditionalFormatting sqref="R27">
    <cfRule type="expression" dxfId="285" priority="108">
      <formula>$C$42=5</formula>
    </cfRule>
  </conditionalFormatting>
  <conditionalFormatting sqref="R28">
    <cfRule type="expression" dxfId="284" priority="107">
      <formula>$C$42=6</formula>
    </cfRule>
  </conditionalFormatting>
  <conditionalFormatting sqref="S23">
    <cfRule type="expression" dxfId="283" priority="106">
      <formula>$C$42=1</formula>
    </cfRule>
  </conditionalFormatting>
  <conditionalFormatting sqref="S25">
    <cfRule type="expression" dxfId="282" priority="105">
      <formula>$C$42=3</formula>
    </cfRule>
  </conditionalFormatting>
  <conditionalFormatting sqref="S27">
    <cfRule type="expression" dxfId="281" priority="104">
      <formula>$C$42=5</formula>
    </cfRule>
  </conditionalFormatting>
  <conditionalFormatting sqref="S24">
    <cfRule type="expression" dxfId="280" priority="103">
      <formula>$C$42=2</formula>
    </cfRule>
  </conditionalFormatting>
  <conditionalFormatting sqref="S27:S28">
    <cfRule type="expression" dxfId="279" priority="102">
      <formula>$C$26=5</formula>
    </cfRule>
  </conditionalFormatting>
  <conditionalFormatting sqref="S26">
    <cfRule type="expression" dxfId="278" priority="101">
      <formula>$C$42=4</formula>
    </cfRule>
  </conditionalFormatting>
  <conditionalFormatting sqref="S28">
    <cfRule type="expression" dxfId="277" priority="100">
      <formula>$C$42=6</formula>
    </cfRule>
  </conditionalFormatting>
  <conditionalFormatting sqref="P32:S32">
    <cfRule type="expression" dxfId="276" priority="99">
      <formula>$C$42=1</formula>
    </cfRule>
  </conditionalFormatting>
  <conditionalFormatting sqref="P34:S35">
    <cfRule type="expression" dxfId="275" priority="98">
      <formula>$C$42=3</formula>
    </cfRule>
  </conditionalFormatting>
  <conditionalFormatting sqref="P36:S36">
    <cfRule type="expression" dxfId="274" priority="97">
      <formula>$C$42=5</formula>
    </cfRule>
  </conditionalFormatting>
  <conditionalFormatting sqref="P33:S33">
    <cfRule type="expression" dxfId="273" priority="96">
      <formula>$C$42=2</formula>
    </cfRule>
  </conditionalFormatting>
  <conditionalFormatting sqref="S36:S37">
    <cfRule type="expression" dxfId="272" priority="95">
      <formula>$C$26=5</formula>
    </cfRule>
  </conditionalFormatting>
  <conditionalFormatting sqref="R37:S37 P37">
    <cfRule type="expression" dxfId="271" priority="94">
      <formula>$C$42=6</formula>
    </cfRule>
  </conditionalFormatting>
  <conditionalFormatting sqref="M4">
    <cfRule type="expression" dxfId="270" priority="93">
      <formula>AND($F$29=$G$26,$K$26&gt;=130)</formula>
    </cfRule>
  </conditionalFormatting>
  <conditionalFormatting sqref="N4">
    <cfRule type="expression" dxfId="269" priority="92">
      <formula>AND($G$29=$G$26,$K$26&gt;=130)</formula>
    </cfRule>
  </conditionalFormatting>
  <conditionalFormatting sqref="O4">
    <cfRule type="expression" dxfId="268" priority="91">
      <formula>AND($H$29=$G$26,$K$26&gt;=130)</formula>
    </cfRule>
  </conditionalFormatting>
  <conditionalFormatting sqref="M13">
    <cfRule type="expression" dxfId="267" priority="90">
      <formula>AND($F$29=$G$26,$K$26&gt;=130)</formula>
    </cfRule>
  </conditionalFormatting>
  <conditionalFormatting sqref="N13">
    <cfRule type="expression" dxfId="266" priority="89">
      <formula>AND($G$29=$G$26,$K$26&gt;=130)</formula>
    </cfRule>
  </conditionalFormatting>
  <conditionalFormatting sqref="O13">
    <cfRule type="expression" dxfId="265" priority="88">
      <formula>AND($H$29=$G$26,$K$26&gt;=130)</formula>
    </cfRule>
  </conditionalFormatting>
  <conditionalFormatting sqref="M22">
    <cfRule type="expression" dxfId="264" priority="87">
      <formula>AND($F$29=$G$26,$K$26&gt;=130)</formula>
    </cfRule>
  </conditionalFormatting>
  <conditionalFormatting sqref="N22">
    <cfRule type="expression" dxfId="263" priority="86">
      <formula>AND($G$29=$G$26,$K$26&gt;=130)</formula>
    </cfRule>
  </conditionalFormatting>
  <conditionalFormatting sqref="O22">
    <cfRule type="expression" dxfId="262" priority="85">
      <formula>AND($H$29=$G$26,$K$26&gt;=130)</formula>
    </cfRule>
  </conditionalFormatting>
  <conditionalFormatting sqref="M31">
    <cfRule type="expression" dxfId="261" priority="84">
      <formula>AND($F$29=$G$26,$K$26&gt;=130)</formula>
    </cfRule>
  </conditionalFormatting>
  <conditionalFormatting sqref="N31">
    <cfRule type="expression" dxfId="260" priority="83">
      <formula>AND($G$29=$G$26,$K$26&gt;=130)</formula>
    </cfRule>
  </conditionalFormatting>
  <conditionalFormatting sqref="O31">
    <cfRule type="expression" dxfId="259" priority="82">
      <formula>AND($H$29=$G$26,$K$26&gt;=130)</formula>
    </cfRule>
  </conditionalFormatting>
  <conditionalFormatting sqref="K23">
    <cfRule type="expression" dxfId="258" priority="80">
      <formula>$C$26=1</formula>
    </cfRule>
  </conditionalFormatting>
  <conditionalFormatting sqref="K25">
    <cfRule type="expression" dxfId="257" priority="79">
      <formula>$C$26=3</formula>
    </cfRule>
  </conditionalFormatting>
  <conditionalFormatting sqref="K27">
    <cfRule type="expression" dxfId="256" priority="78">
      <formula>$C$26=5</formula>
    </cfRule>
  </conditionalFormatting>
  <conditionalFormatting sqref="K28">
    <cfRule type="expression" dxfId="255" priority="77">
      <formula>$C$26=6</formula>
    </cfRule>
  </conditionalFormatting>
  <conditionalFormatting sqref="K24">
    <cfRule type="expression" dxfId="254" priority="76">
      <formula>$C$26=2</formula>
    </cfRule>
  </conditionalFormatting>
  <conditionalFormatting sqref="K26">
    <cfRule type="expression" dxfId="253" priority="75">
      <formula>$C$26=4</formula>
    </cfRule>
  </conditionalFormatting>
  <conditionalFormatting sqref="L23:N23 L24:L27">
    <cfRule type="expression" dxfId="252" priority="74">
      <formula>$C$26=1</formula>
    </cfRule>
  </conditionalFormatting>
  <conditionalFormatting sqref="M27:N27">
    <cfRule type="expression" dxfId="251" priority="73">
      <formula>$C$26=5</formula>
    </cfRule>
  </conditionalFormatting>
  <conditionalFormatting sqref="M28">
    <cfRule type="expression" dxfId="250" priority="72">
      <formula>$C$26=6</formula>
    </cfRule>
  </conditionalFormatting>
  <conditionalFormatting sqref="N24:N26">
    <cfRule type="expression" dxfId="249" priority="71">
      <formula>$C$26=2</formula>
    </cfRule>
  </conditionalFormatting>
  <conditionalFormatting sqref="M24">
    <cfRule type="expression" dxfId="248" priority="70">
      <formula>$C$26=1</formula>
    </cfRule>
  </conditionalFormatting>
  <conditionalFormatting sqref="M25">
    <cfRule type="expression" dxfId="247" priority="69">
      <formula>$C$26=1</formula>
    </cfRule>
  </conditionalFormatting>
  <conditionalFormatting sqref="M26">
    <cfRule type="expression" dxfId="246" priority="68">
      <formula>$C$26=1</formula>
    </cfRule>
  </conditionalFormatting>
  <conditionalFormatting sqref="K14:N14 L15:L18">
    <cfRule type="expression" dxfId="245" priority="67">
      <formula>$C$26=1</formula>
    </cfRule>
  </conditionalFormatting>
  <conditionalFormatting sqref="K16 N16">
    <cfRule type="expression" dxfId="244" priority="66">
      <formula>$C$26=3</formula>
    </cfRule>
  </conditionalFormatting>
  <conditionalFormatting sqref="K18 M18:N18">
    <cfRule type="expression" dxfId="243" priority="65">
      <formula>$C$26=5</formula>
    </cfRule>
  </conditionalFormatting>
  <conditionalFormatting sqref="M19 K19">
    <cfRule type="expression" dxfId="242" priority="64">
      <formula>$C$26=6</formula>
    </cfRule>
  </conditionalFormatting>
  <conditionalFormatting sqref="K15 N15">
    <cfRule type="expression" dxfId="241" priority="63">
      <formula>$C$26=2</formula>
    </cfRule>
  </conditionalFormatting>
  <conditionalFormatting sqref="K17 N17">
    <cfRule type="expression" dxfId="240" priority="62">
      <formula>$C$26=4</formula>
    </cfRule>
  </conditionalFormatting>
  <conditionalFormatting sqref="M15">
    <cfRule type="expression" dxfId="239" priority="61">
      <formula>$C$26=1</formula>
    </cfRule>
  </conditionalFormatting>
  <conditionalFormatting sqref="M16">
    <cfRule type="expression" dxfId="238" priority="60">
      <formula>$C$26=1</formula>
    </cfRule>
  </conditionalFormatting>
  <conditionalFormatting sqref="M17">
    <cfRule type="expression" dxfId="237" priority="59">
      <formula>$C$26=1</formula>
    </cfRule>
  </conditionalFormatting>
  <conditionalFormatting sqref="K5:N5 L6:L9">
    <cfRule type="expression" dxfId="236" priority="58">
      <formula>$C$26=1</formula>
    </cfRule>
  </conditionalFormatting>
  <conditionalFormatting sqref="K7">
    <cfRule type="expression" dxfId="235" priority="57">
      <formula>$C$26=3</formula>
    </cfRule>
  </conditionalFormatting>
  <conditionalFormatting sqref="K9 N9">
    <cfRule type="expression" dxfId="234" priority="56">
      <formula>$C$26=5</formula>
    </cfRule>
  </conditionalFormatting>
  <conditionalFormatting sqref="M10 K10">
    <cfRule type="expression" dxfId="233" priority="55">
      <formula>$C$26=6</formula>
    </cfRule>
  </conditionalFormatting>
  <conditionalFormatting sqref="K6">
    <cfRule type="expression" dxfId="232" priority="54">
      <formula>$C$26=2</formula>
    </cfRule>
  </conditionalFormatting>
  <conditionalFormatting sqref="K8">
    <cfRule type="expression" dxfId="231" priority="53">
      <formula>$C$26=4</formula>
    </cfRule>
  </conditionalFormatting>
  <conditionalFormatting sqref="M6">
    <cfRule type="expression" dxfId="230" priority="52">
      <formula>$C$26=1</formula>
    </cfRule>
  </conditionalFormatting>
  <conditionalFormatting sqref="M7">
    <cfRule type="expression" dxfId="229" priority="51">
      <formula>$C$26=1</formula>
    </cfRule>
  </conditionalFormatting>
  <conditionalFormatting sqref="M8">
    <cfRule type="expression" dxfId="228" priority="50">
      <formula>$C$26=1</formula>
    </cfRule>
  </conditionalFormatting>
  <conditionalFormatting sqref="N6">
    <cfRule type="expression" dxfId="227" priority="49">
      <formula>$C$26=1</formula>
    </cfRule>
  </conditionalFormatting>
  <conditionalFormatting sqref="N7">
    <cfRule type="expression" dxfId="226" priority="48">
      <formula>$C$26=1</formula>
    </cfRule>
  </conditionalFormatting>
  <conditionalFormatting sqref="N8">
    <cfRule type="expression" dxfId="225" priority="47">
      <formula>$C$26=1</formula>
    </cfRule>
  </conditionalFormatting>
  <conditionalFormatting sqref="M37 K37">
    <cfRule type="expression" dxfId="224" priority="46">
      <formula>$C$26=6</formula>
    </cfRule>
  </conditionalFormatting>
  <conditionalFormatting sqref="B41">
    <cfRule type="expression" dxfId="223" priority="45">
      <formula>#REF!=1</formula>
    </cfRule>
  </conditionalFormatting>
  <conditionalFormatting sqref="B42">
    <cfRule type="expression" dxfId="222" priority="44">
      <formula>#REF!=2</formula>
    </cfRule>
  </conditionalFormatting>
  <conditionalFormatting sqref="B43">
    <cfRule type="expression" dxfId="221" priority="43">
      <formula>#REF!=3</formula>
    </cfRule>
  </conditionalFormatting>
  <conditionalFormatting sqref="B44">
    <cfRule type="expression" dxfId="220" priority="42">
      <formula>#REF!=4</formula>
    </cfRule>
  </conditionalFormatting>
  <conditionalFormatting sqref="B45">
    <cfRule type="expression" dxfId="219" priority="41">
      <formula>#REF!=5</formula>
    </cfRule>
  </conditionalFormatting>
  <conditionalFormatting sqref="B46">
    <cfRule type="expression" dxfId="218" priority="40">
      <formula>#REF!=6</formula>
    </cfRule>
  </conditionalFormatting>
  <conditionalFormatting sqref="D40">
    <cfRule type="expression" dxfId="217" priority="39">
      <formula>#REF!&gt;0</formula>
    </cfRule>
  </conditionalFormatting>
  <conditionalFormatting sqref="E40">
    <cfRule type="expression" dxfId="216" priority="38">
      <formula>#REF!&gt;0</formula>
    </cfRule>
  </conditionalFormatting>
  <conditionalFormatting sqref="G40">
    <cfRule type="expression" dxfId="215" priority="37">
      <formula>#REF!&gt;0</formula>
    </cfRule>
  </conditionalFormatting>
  <conditionalFormatting sqref="H40">
    <cfRule type="expression" dxfId="214" priority="36">
      <formula>#REF!&gt;0</formula>
    </cfRule>
  </conditionalFormatting>
  <conditionalFormatting sqref="M40">
    <cfRule type="expression" dxfId="213" priority="35">
      <formula>AND($F$29=$G$26,$K$26&gt;=130)</formula>
    </cfRule>
  </conditionalFormatting>
  <conditionalFormatting sqref="N40">
    <cfRule type="expression" dxfId="212" priority="34">
      <formula>AND($G$29=$G$26,$K$26&gt;=130)</formula>
    </cfRule>
  </conditionalFormatting>
  <conditionalFormatting sqref="O40">
    <cfRule type="expression" dxfId="211" priority="33">
      <formula>AND($H$29=$G$26,$K$26&gt;=130)</formula>
    </cfRule>
  </conditionalFormatting>
  <conditionalFormatting sqref="S40">
    <cfRule type="expression" dxfId="210" priority="32">
      <formula>$J$45&gt;0</formula>
    </cfRule>
  </conditionalFormatting>
  <conditionalFormatting sqref="R40">
    <cfRule type="expression" dxfId="209" priority="31">
      <formula>$J$42&gt;0</formula>
    </cfRule>
  </conditionalFormatting>
  <conditionalFormatting sqref="C41:E41 C42:C45 E42:E44">
    <cfRule type="expression" dxfId="208" priority="30">
      <formula>#REF!=1</formula>
    </cfRule>
  </conditionalFormatting>
  <conditionalFormatting sqref="D42">
    <cfRule type="expression" dxfId="207" priority="29">
      <formula>#REF!=2</formula>
    </cfRule>
  </conditionalFormatting>
  <conditionalFormatting sqref="D43">
    <cfRule type="expression" dxfId="206" priority="28">
      <formula>#REF!=3</formula>
    </cfRule>
  </conditionalFormatting>
  <conditionalFormatting sqref="D44">
    <cfRule type="expression" dxfId="205" priority="27">
      <formula>#REF!=4</formula>
    </cfRule>
  </conditionalFormatting>
  <conditionalFormatting sqref="D45:E45">
    <cfRule type="expression" dxfId="204" priority="26">
      <formula>#REF!=5</formula>
    </cfRule>
  </conditionalFormatting>
  <conditionalFormatting sqref="C46:D46">
    <cfRule type="expression" dxfId="203" priority="25">
      <formula>#REF!=6</formula>
    </cfRule>
  </conditionalFormatting>
  <conditionalFormatting sqref="F41:H41 H42:H44">
    <cfRule type="expression" dxfId="202" priority="24">
      <formula>#REF!=1</formula>
    </cfRule>
  </conditionalFormatting>
  <conditionalFormatting sqref="F42:G42">
    <cfRule type="expression" dxfId="201" priority="23">
      <formula>#REF!=2</formula>
    </cfRule>
  </conditionalFormatting>
  <conditionalFormatting sqref="F43:G43">
    <cfRule type="expression" dxfId="200" priority="22">
      <formula>#REF!=3</formula>
    </cfRule>
  </conditionalFormatting>
  <conditionalFormatting sqref="F44:G44">
    <cfRule type="expression" dxfId="199" priority="21">
      <formula>#REF!=4</formula>
    </cfRule>
  </conditionalFormatting>
  <conditionalFormatting sqref="F45:H45">
    <cfRule type="expression" dxfId="198" priority="20">
      <formula>#REF!=5</formula>
    </cfRule>
  </conditionalFormatting>
  <conditionalFormatting sqref="F46:G46">
    <cfRule type="expression" dxfId="197" priority="19">
      <formula>#REF!=6</formula>
    </cfRule>
  </conditionalFormatting>
  <conditionalFormatting sqref="H46">
    <cfRule type="expression" dxfId="196" priority="18">
      <formula>#REF!=6</formula>
    </cfRule>
  </conditionalFormatting>
  <conditionalFormatting sqref="E46">
    <cfRule type="expression" dxfId="195" priority="17">
      <formula>#REF!=6</formula>
    </cfRule>
  </conditionalFormatting>
  <conditionalFormatting sqref="V46 T41 T46">
    <cfRule type="expression" dxfId="194" priority="10">
      <formula>$C$58=1</formula>
    </cfRule>
  </conditionalFormatting>
  <conditionalFormatting sqref="V45">
    <cfRule type="expression" dxfId="193" priority="9">
      <formula>$C$58=1</formula>
    </cfRule>
  </conditionalFormatting>
  <conditionalFormatting sqref="T42:T45">
    <cfRule type="expression" dxfId="192" priority="8">
      <formula>$C$58=1</formula>
    </cfRule>
  </conditionalFormatting>
  <conditionalFormatting sqref="V41:V44">
    <cfRule type="expression" dxfId="191" priority="7">
      <formula>$C$58=1</formula>
    </cfRule>
  </conditionalFormatting>
  <conditionalFormatting sqref="M46 K46">
    <cfRule type="expression" dxfId="190" priority="6">
      <formula>$C$26=6</formula>
    </cfRule>
  </conditionalFormatting>
  <conditionalFormatting sqref="P41:Q41">
    <cfRule type="expression" dxfId="189" priority="5">
      <formula>$C$42=1</formula>
    </cfRule>
  </conditionalFormatting>
  <conditionalFormatting sqref="P43:Q44">
    <cfRule type="expression" dxfId="188" priority="4">
      <formula>$C$42=3</formula>
    </cfRule>
  </conditionalFormatting>
  <conditionalFormatting sqref="P45:Q45">
    <cfRule type="expression" dxfId="187" priority="3">
      <formula>$C$42=5</formula>
    </cfRule>
  </conditionalFormatting>
  <conditionalFormatting sqref="P42:Q42">
    <cfRule type="expression" dxfId="186" priority="2">
      <formula>$C$42=2</formula>
    </cfRule>
  </conditionalFormatting>
  <conditionalFormatting sqref="P46">
    <cfRule type="expression" dxfId="185" priority="1">
      <formula>$C$42=6</formula>
    </cfRule>
  </conditionalFormatting>
  <hyperlinks>
    <hyperlink ref="B50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AD52"/>
  <sheetViews>
    <sheetView topLeftCell="G28" workbookViewId="0">
      <selection activeCell="K43" sqref="K43"/>
    </sheetView>
  </sheetViews>
  <sheetFormatPr baseColWidth="10" defaultRowHeight="15" x14ac:dyDescent="0.25"/>
  <cols>
    <col min="2" max="2" width="22.140625" customWidth="1"/>
  </cols>
  <sheetData>
    <row r="1" spans="1:30" ht="26.25" thickBot="1" x14ac:dyDescent="0.3">
      <c r="A1" s="511" t="s">
        <v>133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</row>
    <row r="2" spans="1:30" ht="15.75" thickBot="1" x14ac:dyDescent="0.3">
      <c r="A2" s="40" t="s">
        <v>82</v>
      </c>
      <c r="B2" s="479" t="s">
        <v>81</v>
      </c>
      <c r="C2" s="480"/>
      <c r="D2" s="480"/>
      <c r="E2" s="481"/>
      <c r="F2" s="479" t="s">
        <v>84</v>
      </c>
      <c r="G2" s="480"/>
      <c r="H2" s="480"/>
      <c r="I2" s="481"/>
      <c r="J2" s="479" t="s">
        <v>100</v>
      </c>
      <c r="K2" s="480"/>
      <c r="L2" s="480"/>
      <c r="M2" s="480"/>
      <c r="N2" s="480"/>
      <c r="O2" s="481"/>
      <c r="P2" s="479" t="s">
        <v>102</v>
      </c>
      <c r="Q2" s="480"/>
      <c r="R2" s="480"/>
      <c r="S2" s="481"/>
      <c r="T2" s="479" t="s">
        <v>180</v>
      </c>
      <c r="U2" s="480"/>
      <c r="V2" s="480"/>
      <c r="W2" s="481"/>
      <c r="X2" s="479" t="s">
        <v>170</v>
      </c>
      <c r="Y2" s="480"/>
      <c r="Z2" s="480"/>
      <c r="AA2" s="480"/>
      <c r="AB2" s="481"/>
      <c r="AD2" t="s">
        <v>158</v>
      </c>
    </row>
    <row r="3" spans="1:30" ht="15.75" customHeight="1" thickBot="1" x14ac:dyDescent="0.3">
      <c r="A3" s="490">
        <v>42614</v>
      </c>
      <c r="B3" s="493" t="s">
        <v>4</v>
      </c>
      <c r="C3" s="495" t="s">
        <v>5</v>
      </c>
      <c r="D3" s="497" t="s">
        <v>6</v>
      </c>
      <c r="E3" s="498"/>
      <c r="F3" s="499" t="s">
        <v>5</v>
      </c>
      <c r="G3" s="509" t="s">
        <v>6</v>
      </c>
      <c r="H3" s="522"/>
      <c r="I3" s="510"/>
      <c r="J3" s="502" t="s">
        <v>91</v>
      </c>
      <c r="K3" s="503"/>
      <c r="L3" s="504"/>
      <c r="M3" s="502" t="s">
        <v>95</v>
      </c>
      <c r="N3" s="503"/>
      <c r="O3" s="504"/>
      <c r="P3" s="505" t="s">
        <v>37</v>
      </c>
      <c r="Q3" s="506"/>
      <c r="R3" s="482" t="s">
        <v>6</v>
      </c>
      <c r="S3" s="483"/>
      <c r="T3" s="484" t="s">
        <v>175</v>
      </c>
      <c r="U3" s="485"/>
      <c r="V3" s="485"/>
      <c r="W3" s="486"/>
      <c r="X3" s="477" t="s">
        <v>171</v>
      </c>
      <c r="Y3" s="473" t="s">
        <v>196</v>
      </c>
      <c r="Z3" s="474"/>
      <c r="AA3" s="473" t="s">
        <v>166</v>
      </c>
      <c r="AB3" s="474"/>
      <c r="AD3" s="57" t="s">
        <v>174</v>
      </c>
    </row>
    <row r="4" spans="1:30" ht="21.75" thickBot="1" x14ac:dyDescent="0.3">
      <c r="A4" s="491"/>
      <c r="B4" s="494"/>
      <c r="C4" s="496"/>
      <c r="D4" s="41" t="s">
        <v>7</v>
      </c>
      <c r="E4" s="41" t="s">
        <v>8</v>
      </c>
      <c r="F4" s="500"/>
      <c r="G4" s="42" t="s">
        <v>7</v>
      </c>
      <c r="H4" s="509" t="s">
        <v>8</v>
      </c>
      <c r="I4" s="510"/>
      <c r="J4" s="48" t="s">
        <v>93</v>
      </c>
      <c r="K4" s="49" t="s">
        <v>92</v>
      </c>
      <c r="L4" s="48" t="s">
        <v>94</v>
      </c>
      <c r="M4" s="48" t="s">
        <v>93</v>
      </c>
      <c r="N4" s="49" t="s">
        <v>92</v>
      </c>
      <c r="O4" s="48" t="s">
        <v>94</v>
      </c>
      <c r="P4" s="507"/>
      <c r="Q4" s="508"/>
      <c r="R4" s="51" t="s">
        <v>38</v>
      </c>
      <c r="S4" s="51" t="s">
        <v>39</v>
      </c>
      <c r="T4" s="487"/>
      <c r="U4" s="488"/>
      <c r="V4" s="488"/>
      <c r="W4" s="489"/>
      <c r="X4" s="478"/>
      <c r="Y4" s="475"/>
      <c r="Z4" s="476"/>
      <c r="AA4" s="475"/>
      <c r="AB4" s="476"/>
    </row>
    <row r="5" spans="1:30" ht="15.75" thickBot="1" x14ac:dyDescent="0.3">
      <c r="A5" s="491"/>
      <c r="B5" s="14" t="s">
        <v>25</v>
      </c>
      <c r="C5" s="39">
        <v>4483.88</v>
      </c>
      <c r="D5" s="1">
        <v>763.32</v>
      </c>
      <c r="E5" s="1">
        <v>1413.55</v>
      </c>
      <c r="F5" s="1">
        <v>3655.22</v>
      </c>
      <c r="G5" s="1">
        <v>454.07</v>
      </c>
      <c r="H5" s="199">
        <v>553.74</v>
      </c>
      <c r="I5" s="200"/>
      <c r="J5" s="1">
        <v>199.38</v>
      </c>
      <c r="K5" s="45">
        <v>191.91</v>
      </c>
      <c r="L5" s="1">
        <v>184.32</v>
      </c>
      <c r="M5" s="45">
        <v>498.45</v>
      </c>
      <c r="N5" s="1">
        <v>479.78</v>
      </c>
      <c r="O5" s="1">
        <v>460.79</v>
      </c>
      <c r="P5" s="199" t="s">
        <v>104</v>
      </c>
      <c r="Q5" s="200"/>
      <c r="R5" s="46" t="s">
        <v>105</v>
      </c>
      <c r="S5" s="1" t="s">
        <v>105</v>
      </c>
      <c r="T5" s="201">
        <v>0.08</v>
      </c>
      <c r="U5" s="203"/>
      <c r="V5" s="199" t="s">
        <v>122</v>
      </c>
      <c r="W5" s="200"/>
      <c r="X5" s="22">
        <v>-0.1865</v>
      </c>
      <c r="Y5" s="341">
        <v>4715</v>
      </c>
      <c r="Z5" s="341"/>
      <c r="AA5" s="341">
        <v>139641</v>
      </c>
      <c r="AB5" s="341"/>
    </row>
    <row r="6" spans="1:30" ht="15.75" thickBot="1" x14ac:dyDescent="0.3">
      <c r="A6" s="491"/>
      <c r="B6" s="14" t="s">
        <v>21</v>
      </c>
      <c r="C6" s="39">
        <v>7057.97</v>
      </c>
      <c r="D6" s="10">
        <v>1201.52</v>
      </c>
      <c r="E6" s="1">
        <v>1413.55</v>
      </c>
      <c r="F6" s="1">
        <v>3833.53</v>
      </c>
      <c r="G6" s="1">
        <v>476.22</v>
      </c>
      <c r="H6" s="199">
        <v>554.74</v>
      </c>
      <c r="I6" s="200"/>
      <c r="J6" s="1">
        <v>249.23</v>
      </c>
      <c r="K6" s="45">
        <v>239.89</v>
      </c>
      <c r="L6" s="1">
        <v>230.39</v>
      </c>
      <c r="M6" s="45">
        <v>498.45</v>
      </c>
      <c r="N6" s="1">
        <v>479.78</v>
      </c>
      <c r="O6" s="1">
        <v>460.79</v>
      </c>
      <c r="P6" s="199" t="s">
        <v>104</v>
      </c>
      <c r="Q6" s="200"/>
      <c r="R6" s="46" t="s">
        <v>105</v>
      </c>
      <c r="S6" s="1" t="s">
        <v>105</v>
      </c>
      <c r="T6" s="201">
        <v>0.15</v>
      </c>
      <c r="U6" s="203"/>
      <c r="V6" s="199" t="s">
        <v>122</v>
      </c>
      <c r="W6" s="200"/>
      <c r="X6" s="22">
        <v>-0.1492</v>
      </c>
      <c r="Y6" s="341">
        <v>1513</v>
      </c>
      <c r="Z6" s="341"/>
      <c r="AA6" s="341">
        <v>26669</v>
      </c>
      <c r="AB6" s="341"/>
    </row>
    <row r="7" spans="1:30" ht="15.75" thickBot="1" x14ac:dyDescent="0.3">
      <c r="A7" s="491"/>
      <c r="B7" s="14" t="s">
        <v>24</v>
      </c>
      <c r="C7" s="39">
        <v>8303.49</v>
      </c>
      <c r="D7" s="1">
        <v>1413.55</v>
      </c>
      <c r="E7" s="1">
        <v>1413.55</v>
      </c>
      <c r="F7" s="1">
        <v>4279.29</v>
      </c>
      <c r="G7" s="1">
        <v>526.04999999999995</v>
      </c>
      <c r="H7" s="199">
        <v>555.74</v>
      </c>
      <c r="I7" s="200"/>
      <c r="J7" s="1">
        <v>423.69</v>
      </c>
      <c r="K7" s="45">
        <v>407.82</v>
      </c>
      <c r="L7" s="1">
        <v>391.67</v>
      </c>
      <c r="M7" s="45">
        <v>498.45</v>
      </c>
      <c r="N7" s="1">
        <v>479.78</v>
      </c>
      <c r="O7" s="1">
        <v>460.79</v>
      </c>
      <c r="P7" s="199" t="s">
        <v>104</v>
      </c>
      <c r="Q7" s="200"/>
      <c r="R7" s="46" t="s">
        <v>105</v>
      </c>
      <c r="S7" s="1" t="s">
        <v>105</v>
      </c>
      <c r="T7" s="201">
        <v>0.22</v>
      </c>
      <c r="U7" s="203"/>
      <c r="V7" s="199" t="s">
        <v>122</v>
      </c>
      <c r="W7" s="200"/>
      <c r="X7" s="22">
        <v>-5.5899999999999998E-2</v>
      </c>
      <c r="Y7" s="341">
        <v>0</v>
      </c>
      <c r="Z7" s="341"/>
      <c r="AA7" s="341">
        <v>3051</v>
      </c>
      <c r="AB7" s="341"/>
    </row>
    <row r="8" spans="1:30" ht="15.75" thickBot="1" x14ac:dyDescent="0.3">
      <c r="A8" s="491"/>
      <c r="B8" s="14" t="s">
        <v>22</v>
      </c>
      <c r="C8" s="39">
        <v>8303.49</v>
      </c>
      <c r="D8" s="1">
        <v>1413.55</v>
      </c>
      <c r="E8" s="1">
        <v>1413.55</v>
      </c>
      <c r="F8" s="1">
        <v>4457.59</v>
      </c>
      <c r="G8" s="1">
        <v>553.74</v>
      </c>
      <c r="H8" s="199">
        <v>556.74</v>
      </c>
      <c r="I8" s="200"/>
      <c r="J8" s="1">
        <v>498.45</v>
      </c>
      <c r="K8" s="45">
        <v>479.78</v>
      </c>
      <c r="L8" s="1">
        <v>460.79</v>
      </c>
      <c r="M8" s="45">
        <v>498.45</v>
      </c>
      <c r="N8" s="1">
        <v>479.78</v>
      </c>
      <c r="O8" s="1">
        <v>460.79</v>
      </c>
      <c r="P8" s="199" t="s">
        <v>104</v>
      </c>
      <c r="Q8" s="200"/>
      <c r="R8" s="46" t="s">
        <v>105</v>
      </c>
      <c r="S8" s="1" t="s">
        <v>105</v>
      </c>
      <c r="T8" s="201">
        <v>0.3</v>
      </c>
      <c r="U8" s="203"/>
      <c r="V8" s="199" t="s">
        <v>122</v>
      </c>
      <c r="W8" s="200"/>
      <c r="X8" s="22">
        <v>0</v>
      </c>
      <c r="Y8" s="296">
        <v>6228</v>
      </c>
      <c r="Z8" s="297"/>
      <c r="AA8" s="296">
        <v>169361</v>
      </c>
      <c r="AB8" s="297"/>
    </row>
    <row r="9" spans="1:30" ht="15.75" thickBot="1" x14ac:dyDescent="0.3">
      <c r="A9" s="491"/>
      <c r="B9" s="21" t="s">
        <v>23</v>
      </c>
      <c r="C9" s="39">
        <v>12455.24</v>
      </c>
      <c r="D9" s="22">
        <v>2120.33</v>
      </c>
      <c r="E9" s="22">
        <v>2120.33</v>
      </c>
      <c r="F9" s="22">
        <v>6686.39</v>
      </c>
      <c r="G9" s="22">
        <v>830.61</v>
      </c>
      <c r="H9" s="308">
        <v>830.61</v>
      </c>
      <c r="I9" s="309"/>
      <c r="J9" s="1">
        <v>598.14</v>
      </c>
      <c r="K9" s="45">
        <v>575.74</v>
      </c>
      <c r="L9" s="1">
        <v>552.95000000000005</v>
      </c>
      <c r="M9" s="1">
        <v>598.14</v>
      </c>
      <c r="N9" s="1">
        <v>575.74</v>
      </c>
      <c r="O9" s="1">
        <v>552.95000000000005</v>
      </c>
      <c r="P9" s="199" t="s">
        <v>104</v>
      </c>
      <c r="Q9" s="200"/>
      <c r="R9" s="46" t="s">
        <v>105</v>
      </c>
      <c r="S9" s="1" t="s">
        <v>105</v>
      </c>
      <c r="T9" s="201">
        <v>0.65</v>
      </c>
      <c r="U9" s="203"/>
      <c r="V9" s="199" t="s">
        <v>122</v>
      </c>
      <c r="W9" s="200"/>
      <c r="X9" s="22">
        <v>0.5</v>
      </c>
      <c r="Y9" s="519"/>
      <c r="Z9" s="520"/>
      <c r="AA9" s="519"/>
      <c r="AB9" s="520"/>
    </row>
    <row r="10" spans="1:30" x14ac:dyDescent="0.25">
      <c r="A10" s="491"/>
      <c r="B10" s="351" t="s">
        <v>26</v>
      </c>
      <c r="C10" s="215">
        <v>13285.58</v>
      </c>
      <c r="D10" s="215">
        <v>2261.6799999999998</v>
      </c>
      <c r="E10" s="215">
        <v>2261.6799999999998</v>
      </c>
      <c r="F10" s="215">
        <v>7132.14</v>
      </c>
      <c r="G10" s="215">
        <v>885.98</v>
      </c>
      <c r="H10" s="207">
        <v>885.98</v>
      </c>
      <c r="I10" s="208"/>
      <c r="J10" s="310">
        <v>598.14</v>
      </c>
      <c r="K10" s="296">
        <v>575.74</v>
      </c>
      <c r="L10" s="310">
        <v>552.95000000000005</v>
      </c>
      <c r="M10" s="310">
        <v>598.14</v>
      </c>
      <c r="N10" s="310">
        <v>575.74</v>
      </c>
      <c r="O10" s="310">
        <v>552.95000000000005</v>
      </c>
      <c r="P10" s="206" t="s">
        <v>104</v>
      </c>
      <c r="Q10" s="208"/>
      <c r="R10" s="215" t="s">
        <v>105</v>
      </c>
      <c r="S10" s="215" t="s">
        <v>105</v>
      </c>
      <c r="T10" s="296">
        <v>0.75</v>
      </c>
      <c r="U10" s="297"/>
      <c r="V10" s="206" t="s">
        <v>122</v>
      </c>
      <c r="W10" s="208"/>
      <c r="X10" s="310">
        <v>0.6</v>
      </c>
      <c r="Y10" s="519"/>
      <c r="Z10" s="520"/>
      <c r="AA10" s="519"/>
      <c r="AB10" s="520"/>
    </row>
    <row r="11" spans="1:30" ht="15.75" thickBot="1" x14ac:dyDescent="0.3">
      <c r="A11" s="492"/>
      <c r="B11" s="352"/>
      <c r="C11" s="216"/>
      <c r="D11" s="216"/>
      <c r="E11" s="216"/>
      <c r="F11" s="216"/>
      <c r="G11" s="216"/>
      <c r="H11" s="353"/>
      <c r="I11" s="214"/>
      <c r="J11" s="311"/>
      <c r="K11" s="298"/>
      <c r="L11" s="311"/>
      <c r="M11" s="311"/>
      <c r="N11" s="311"/>
      <c r="O11" s="311"/>
      <c r="P11" s="213"/>
      <c r="Q11" s="214"/>
      <c r="R11" s="216"/>
      <c r="S11" s="216"/>
      <c r="T11" s="298"/>
      <c r="U11" s="299"/>
      <c r="V11" s="213"/>
      <c r="W11" s="214"/>
      <c r="X11" s="311"/>
      <c r="Y11" s="298"/>
      <c r="Z11" s="299"/>
      <c r="AA11" s="298"/>
      <c r="AB11" s="299"/>
    </row>
    <row r="12" spans="1:30" ht="15.75" customHeight="1" thickBot="1" x14ac:dyDescent="0.3">
      <c r="A12" s="490">
        <v>42644</v>
      </c>
      <c r="B12" s="493" t="s">
        <v>4</v>
      </c>
      <c r="C12" s="495" t="s">
        <v>5</v>
      </c>
      <c r="D12" s="497" t="s">
        <v>6</v>
      </c>
      <c r="E12" s="498"/>
      <c r="F12" s="499" t="s">
        <v>5</v>
      </c>
      <c r="G12" s="501" t="s">
        <v>6</v>
      </c>
      <c r="H12" s="501"/>
      <c r="I12" s="501"/>
      <c r="J12" s="502" t="s">
        <v>91</v>
      </c>
      <c r="K12" s="503"/>
      <c r="L12" s="504"/>
      <c r="M12" s="502" t="s">
        <v>95</v>
      </c>
      <c r="N12" s="503"/>
      <c r="O12" s="504"/>
      <c r="P12" s="505" t="s">
        <v>37</v>
      </c>
      <c r="Q12" s="506"/>
      <c r="R12" s="482" t="s">
        <v>6</v>
      </c>
      <c r="S12" s="483"/>
      <c r="T12" s="484" t="s">
        <v>175</v>
      </c>
      <c r="U12" s="485"/>
      <c r="V12" s="485"/>
      <c r="W12" s="486"/>
      <c r="X12" s="477" t="s">
        <v>171</v>
      </c>
      <c r="Y12" s="473" t="s">
        <v>196</v>
      </c>
      <c r="Z12" s="474"/>
      <c r="AA12" s="473" t="s">
        <v>166</v>
      </c>
      <c r="AB12" s="474"/>
    </row>
    <row r="13" spans="1:30" ht="21.75" thickBot="1" x14ac:dyDescent="0.3">
      <c r="A13" s="491"/>
      <c r="B13" s="494"/>
      <c r="C13" s="496"/>
      <c r="D13" s="41" t="s">
        <v>7</v>
      </c>
      <c r="E13" s="41" t="s">
        <v>8</v>
      </c>
      <c r="F13" s="500"/>
      <c r="G13" s="42" t="s">
        <v>7</v>
      </c>
      <c r="H13" s="509" t="s">
        <v>8</v>
      </c>
      <c r="I13" s="510"/>
      <c r="J13" s="48" t="s">
        <v>93</v>
      </c>
      <c r="K13" s="49" t="s">
        <v>92</v>
      </c>
      <c r="L13" s="48" t="s">
        <v>94</v>
      </c>
      <c r="M13" s="48" t="s">
        <v>93</v>
      </c>
      <c r="N13" s="49" t="s">
        <v>92</v>
      </c>
      <c r="O13" s="48" t="s">
        <v>94</v>
      </c>
      <c r="P13" s="507"/>
      <c r="Q13" s="508"/>
      <c r="R13" s="51" t="s">
        <v>38</v>
      </c>
      <c r="S13" s="51" t="s">
        <v>39</v>
      </c>
      <c r="T13" s="487"/>
      <c r="U13" s="488"/>
      <c r="V13" s="488"/>
      <c r="W13" s="489"/>
      <c r="X13" s="478"/>
      <c r="Y13" s="475"/>
      <c r="Z13" s="476"/>
      <c r="AA13" s="475"/>
      <c r="AB13" s="476"/>
    </row>
    <row r="14" spans="1:30" ht="15.75" thickBot="1" x14ac:dyDescent="0.3">
      <c r="A14" s="491"/>
      <c r="B14" s="14" t="s">
        <v>25</v>
      </c>
      <c r="C14" s="39">
        <v>4483.88</v>
      </c>
      <c r="D14" s="1">
        <v>763.32</v>
      </c>
      <c r="E14" s="1">
        <v>1413.55</v>
      </c>
      <c r="F14" s="1">
        <v>3655.22</v>
      </c>
      <c r="G14" s="1">
        <v>454.07</v>
      </c>
      <c r="H14" s="199">
        <v>553.74</v>
      </c>
      <c r="I14" s="200"/>
      <c r="J14" s="1">
        <v>199.28</v>
      </c>
      <c r="K14" s="45">
        <v>191.81</v>
      </c>
      <c r="L14" s="1">
        <v>184.22</v>
      </c>
      <c r="M14" s="45">
        <v>482.5</v>
      </c>
      <c r="N14" s="1">
        <v>468.13</v>
      </c>
      <c r="O14" s="1">
        <v>452.86</v>
      </c>
      <c r="P14" s="199" t="s">
        <v>104</v>
      </c>
      <c r="Q14" s="200"/>
      <c r="R14" s="46" t="s">
        <v>105</v>
      </c>
      <c r="S14" s="1" t="s">
        <v>105</v>
      </c>
      <c r="T14" s="201">
        <v>0.08</v>
      </c>
      <c r="U14" s="203"/>
      <c r="V14" s="199" t="s">
        <v>122</v>
      </c>
      <c r="W14" s="200"/>
      <c r="X14" s="22">
        <v>-0.1865</v>
      </c>
      <c r="Y14" s="341">
        <v>4715</v>
      </c>
      <c r="Z14" s="341"/>
      <c r="AA14" s="341">
        <v>139641</v>
      </c>
      <c r="AB14" s="341"/>
    </row>
    <row r="15" spans="1:30" ht="15.75" thickBot="1" x14ac:dyDescent="0.3">
      <c r="A15" s="491"/>
      <c r="B15" s="14" t="s">
        <v>21</v>
      </c>
      <c r="C15" s="39">
        <v>7057.97</v>
      </c>
      <c r="D15" s="10">
        <v>1201.52</v>
      </c>
      <c r="E15" s="1">
        <v>1413.55</v>
      </c>
      <c r="F15" s="1">
        <v>3833.53</v>
      </c>
      <c r="G15" s="1">
        <v>476.22</v>
      </c>
      <c r="H15" s="199">
        <v>554.74</v>
      </c>
      <c r="I15" s="200"/>
      <c r="J15" s="1">
        <v>249.1</v>
      </c>
      <c r="K15" s="45">
        <v>239.77</v>
      </c>
      <c r="L15" s="1">
        <v>230.27</v>
      </c>
      <c r="M15" s="45">
        <v>482.5</v>
      </c>
      <c r="N15" s="1">
        <v>468.13</v>
      </c>
      <c r="O15" s="1">
        <v>452.86</v>
      </c>
      <c r="P15" s="199" t="s">
        <v>104</v>
      </c>
      <c r="Q15" s="200"/>
      <c r="R15" s="46" t="s">
        <v>105</v>
      </c>
      <c r="S15" s="1" t="s">
        <v>105</v>
      </c>
      <c r="T15" s="201">
        <v>0.15</v>
      </c>
      <c r="U15" s="203"/>
      <c r="V15" s="199" t="s">
        <v>122</v>
      </c>
      <c r="W15" s="200"/>
      <c r="X15" s="22">
        <v>-0.1492</v>
      </c>
      <c r="Y15" s="341">
        <v>1513</v>
      </c>
      <c r="Z15" s="341"/>
      <c r="AA15" s="341">
        <v>26669</v>
      </c>
      <c r="AB15" s="341"/>
    </row>
    <row r="16" spans="1:30" ht="15.75" thickBot="1" x14ac:dyDescent="0.3">
      <c r="A16" s="491"/>
      <c r="B16" s="14" t="s">
        <v>24</v>
      </c>
      <c r="C16" s="39">
        <v>8303.49</v>
      </c>
      <c r="D16" s="1">
        <v>1413.55</v>
      </c>
      <c r="E16" s="1">
        <v>1413.55</v>
      </c>
      <c r="F16" s="1">
        <v>4279.29</v>
      </c>
      <c r="G16" s="1">
        <v>526.04999999999995</v>
      </c>
      <c r="H16" s="199">
        <v>555.74</v>
      </c>
      <c r="I16" s="200"/>
      <c r="J16" s="1">
        <v>410.13</v>
      </c>
      <c r="K16" s="45">
        <v>397.91</v>
      </c>
      <c r="L16" s="1">
        <v>384.93</v>
      </c>
      <c r="M16" s="45">
        <v>482.5</v>
      </c>
      <c r="N16" s="1">
        <v>468.13</v>
      </c>
      <c r="O16" s="1">
        <v>452.86</v>
      </c>
      <c r="P16" s="199" t="s">
        <v>104</v>
      </c>
      <c r="Q16" s="200"/>
      <c r="R16" s="46" t="s">
        <v>105</v>
      </c>
      <c r="S16" s="1" t="s">
        <v>105</v>
      </c>
      <c r="T16" s="201">
        <v>0.22</v>
      </c>
      <c r="U16" s="203"/>
      <c r="V16" s="199" t="s">
        <v>122</v>
      </c>
      <c r="W16" s="200"/>
      <c r="X16" s="22">
        <v>-5.5899999999999998E-2</v>
      </c>
      <c r="Y16" s="341">
        <v>0</v>
      </c>
      <c r="Z16" s="341"/>
      <c r="AA16" s="341">
        <v>3051</v>
      </c>
      <c r="AB16" s="341"/>
    </row>
    <row r="17" spans="1:28" ht="15.75" thickBot="1" x14ac:dyDescent="0.3">
      <c r="A17" s="491"/>
      <c r="B17" s="14" t="s">
        <v>22</v>
      </c>
      <c r="C17" s="39">
        <v>8303.49</v>
      </c>
      <c r="D17" s="1">
        <v>1413.55</v>
      </c>
      <c r="E17" s="1">
        <v>1413.55</v>
      </c>
      <c r="F17" s="1">
        <v>4457.59</v>
      </c>
      <c r="G17" s="1">
        <v>553.74</v>
      </c>
      <c r="H17" s="199">
        <v>556.74</v>
      </c>
      <c r="I17" s="200"/>
      <c r="J17" s="1">
        <v>482.5</v>
      </c>
      <c r="K17" s="45">
        <v>468.13</v>
      </c>
      <c r="L17" s="1">
        <v>452.86</v>
      </c>
      <c r="M17" s="45">
        <v>482.5</v>
      </c>
      <c r="N17" s="1">
        <v>468.13</v>
      </c>
      <c r="O17" s="1">
        <v>452.86</v>
      </c>
      <c r="P17" s="199" t="s">
        <v>104</v>
      </c>
      <c r="Q17" s="200"/>
      <c r="R17" s="46" t="s">
        <v>105</v>
      </c>
      <c r="S17" s="1" t="s">
        <v>105</v>
      </c>
      <c r="T17" s="201">
        <v>0.3</v>
      </c>
      <c r="U17" s="203"/>
      <c r="V17" s="199" t="s">
        <v>122</v>
      </c>
      <c r="W17" s="200"/>
      <c r="X17" s="22">
        <v>0</v>
      </c>
      <c r="Y17" s="296">
        <v>6228</v>
      </c>
      <c r="Z17" s="297"/>
      <c r="AA17" s="296">
        <v>169361</v>
      </c>
      <c r="AB17" s="297"/>
    </row>
    <row r="18" spans="1:28" ht="15.75" thickBot="1" x14ac:dyDescent="0.3">
      <c r="A18" s="491"/>
      <c r="B18" s="21" t="s">
        <v>23</v>
      </c>
      <c r="C18" s="39">
        <v>12455.24</v>
      </c>
      <c r="D18" s="22">
        <v>2120.33</v>
      </c>
      <c r="E18" s="22">
        <v>2120.33</v>
      </c>
      <c r="F18" s="22">
        <v>6686.39</v>
      </c>
      <c r="G18" s="22">
        <v>830.61</v>
      </c>
      <c r="H18" s="308">
        <v>830.61</v>
      </c>
      <c r="I18" s="309"/>
      <c r="J18" s="1">
        <v>579</v>
      </c>
      <c r="K18" s="45">
        <v>561.75</v>
      </c>
      <c r="L18" s="1">
        <v>543.44000000000005</v>
      </c>
      <c r="M18" s="45">
        <v>579</v>
      </c>
      <c r="N18" s="1">
        <v>561.75</v>
      </c>
      <c r="O18" s="1">
        <v>543.44000000000005</v>
      </c>
      <c r="P18" s="199" t="s">
        <v>104</v>
      </c>
      <c r="Q18" s="200"/>
      <c r="R18" s="46" t="s">
        <v>105</v>
      </c>
      <c r="S18" s="1" t="s">
        <v>105</v>
      </c>
      <c r="T18" s="201">
        <v>0.65</v>
      </c>
      <c r="U18" s="203"/>
      <c r="V18" s="199" t="s">
        <v>122</v>
      </c>
      <c r="W18" s="200"/>
      <c r="X18" s="22">
        <v>0.5</v>
      </c>
      <c r="Y18" s="519"/>
      <c r="Z18" s="520"/>
      <c r="AA18" s="519"/>
      <c r="AB18" s="520"/>
    </row>
    <row r="19" spans="1:28" x14ac:dyDescent="0.25">
      <c r="A19" s="491"/>
      <c r="B19" s="351" t="s">
        <v>26</v>
      </c>
      <c r="C19" s="215">
        <v>13285.58</v>
      </c>
      <c r="D19" s="215">
        <v>2261.6799999999998</v>
      </c>
      <c r="E19" s="215">
        <v>2261.6799999999998</v>
      </c>
      <c r="F19" s="215">
        <v>7132.14</v>
      </c>
      <c r="G19" s="215">
        <v>885.98</v>
      </c>
      <c r="H19" s="207">
        <v>885.98</v>
      </c>
      <c r="I19" s="208"/>
      <c r="J19" s="215">
        <v>579</v>
      </c>
      <c r="K19" s="206">
        <v>561.75</v>
      </c>
      <c r="L19" s="215">
        <v>543.44000000000005</v>
      </c>
      <c r="M19" s="215">
        <v>579</v>
      </c>
      <c r="N19" s="215">
        <v>561.75</v>
      </c>
      <c r="O19" s="215">
        <v>543.44000000000005</v>
      </c>
      <c r="P19" s="206" t="s">
        <v>104</v>
      </c>
      <c r="Q19" s="208"/>
      <c r="R19" s="215" t="s">
        <v>105</v>
      </c>
      <c r="S19" s="215" t="s">
        <v>105</v>
      </c>
      <c r="T19" s="296">
        <v>0.75</v>
      </c>
      <c r="U19" s="297"/>
      <c r="V19" s="206" t="s">
        <v>122</v>
      </c>
      <c r="W19" s="208"/>
      <c r="X19" s="310">
        <v>0.6</v>
      </c>
      <c r="Y19" s="519"/>
      <c r="Z19" s="520"/>
      <c r="AA19" s="519"/>
      <c r="AB19" s="520"/>
    </row>
    <row r="20" spans="1:28" ht="15.75" thickBot="1" x14ac:dyDescent="0.3">
      <c r="A20" s="492"/>
      <c r="B20" s="352"/>
      <c r="C20" s="216"/>
      <c r="D20" s="216"/>
      <c r="E20" s="216"/>
      <c r="F20" s="216"/>
      <c r="G20" s="216"/>
      <c r="H20" s="353"/>
      <c r="I20" s="214"/>
      <c r="J20" s="216"/>
      <c r="K20" s="213"/>
      <c r="L20" s="216"/>
      <c r="M20" s="216"/>
      <c r="N20" s="216"/>
      <c r="O20" s="216"/>
      <c r="P20" s="213"/>
      <c r="Q20" s="214"/>
      <c r="R20" s="216"/>
      <c r="S20" s="216"/>
      <c r="T20" s="298"/>
      <c r="U20" s="299"/>
      <c r="V20" s="213"/>
      <c r="W20" s="214"/>
      <c r="X20" s="311"/>
      <c r="Y20" s="298"/>
      <c r="Z20" s="299"/>
      <c r="AA20" s="298"/>
      <c r="AB20" s="299"/>
    </row>
    <row r="21" spans="1:28" ht="15.75" customHeight="1" thickBot="1" x14ac:dyDescent="0.3">
      <c r="A21" s="490">
        <v>42675</v>
      </c>
      <c r="B21" s="493" t="s">
        <v>4</v>
      </c>
      <c r="C21" s="495" t="s">
        <v>5</v>
      </c>
      <c r="D21" s="497" t="s">
        <v>6</v>
      </c>
      <c r="E21" s="498"/>
      <c r="F21" s="499" t="s">
        <v>5</v>
      </c>
      <c r="G21" s="501" t="s">
        <v>6</v>
      </c>
      <c r="H21" s="501"/>
      <c r="I21" s="501"/>
      <c r="J21" s="502" t="s">
        <v>91</v>
      </c>
      <c r="K21" s="503"/>
      <c r="L21" s="504"/>
      <c r="M21" s="502" t="s">
        <v>95</v>
      </c>
      <c r="N21" s="503"/>
      <c r="O21" s="504"/>
      <c r="P21" s="505" t="s">
        <v>37</v>
      </c>
      <c r="Q21" s="506"/>
      <c r="R21" s="482" t="s">
        <v>6</v>
      </c>
      <c r="S21" s="483"/>
      <c r="T21" s="484" t="s">
        <v>175</v>
      </c>
      <c r="U21" s="485"/>
      <c r="V21" s="485"/>
      <c r="W21" s="486"/>
      <c r="X21" s="477" t="s">
        <v>171</v>
      </c>
      <c r="Y21" s="473" t="s">
        <v>196</v>
      </c>
      <c r="Z21" s="474"/>
      <c r="AA21" s="473" t="s">
        <v>166</v>
      </c>
      <c r="AB21" s="474"/>
    </row>
    <row r="22" spans="1:28" ht="21.75" thickBot="1" x14ac:dyDescent="0.3">
      <c r="A22" s="491"/>
      <c r="B22" s="494"/>
      <c r="C22" s="496"/>
      <c r="D22" s="41" t="s">
        <v>7</v>
      </c>
      <c r="E22" s="41" t="s">
        <v>8</v>
      </c>
      <c r="F22" s="500"/>
      <c r="G22" s="42" t="s">
        <v>7</v>
      </c>
      <c r="H22" s="509" t="s">
        <v>8</v>
      </c>
      <c r="I22" s="510"/>
      <c r="J22" s="48" t="s">
        <v>93</v>
      </c>
      <c r="K22" s="49" t="s">
        <v>92</v>
      </c>
      <c r="L22" s="48" t="s">
        <v>94</v>
      </c>
      <c r="M22" s="48" t="s">
        <v>93</v>
      </c>
      <c r="N22" s="49" t="s">
        <v>92</v>
      </c>
      <c r="O22" s="48" t="s">
        <v>94</v>
      </c>
      <c r="P22" s="507"/>
      <c r="Q22" s="508"/>
      <c r="R22" s="51" t="s">
        <v>38</v>
      </c>
      <c r="S22" s="51" t="s">
        <v>39</v>
      </c>
      <c r="T22" s="487"/>
      <c r="U22" s="488"/>
      <c r="V22" s="488"/>
      <c r="W22" s="489"/>
      <c r="X22" s="478"/>
      <c r="Y22" s="475"/>
      <c r="Z22" s="476"/>
      <c r="AA22" s="475"/>
      <c r="AB22" s="476"/>
    </row>
    <row r="23" spans="1:28" ht="15.75" thickBot="1" x14ac:dyDescent="0.3">
      <c r="A23" s="491"/>
      <c r="B23" s="14" t="s">
        <v>25</v>
      </c>
      <c r="C23" s="39">
        <v>4483.88</v>
      </c>
      <c r="D23" s="1">
        <v>763.32</v>
      </c>
      <c r="E23" s="1">
        <v>1413.55</v>
      </c>
      <c r="F23" s="1">
        <v>3655.22</v>
      </c>
      <c r="G23" s="1">
        <v>454.07</v>
      </c>
      <c r="H23" s="199">
        <v>553.74</v>
      </c>
      <c r="I23" s="200"/>
      <c r="J23" s="1">
        <v>199.16</v>
      </c>
      <c r="K23" s="45">
        <v>191.7</v>
      </c>
      <c r="L23" s="1">
        <v>184.1</v>
      </c>
      <c r="M23" s="45">
        <v>461.85</v>
      </c>
      <c r="N23" s="1">
        <v>444.62</v>
      </c>
      <c r="O23" s="1">
        <v>427.38</v>
      </c>
      <c r="P23" s="199">
        <v>0</v>
      </c>
      <c r="Q23" s="200"/>
      <c r="R23" s="46">
        <v>658.23</v>
      </c>
      <c r="S23" s="1">
        <v>1209.94</v>
      </c>
      <c r="T23" s="201">
        <v>0.08</v>
      </c>
      <c r="U23" s="203"/>
      <c r="V23" s="199" t="s">
        <v>122</v>
      </c>
      <c r="W23" s="200"/>
      <c r="X23" s="22">
        <v>-0.1865</v>
      </c>
      <c r="Y23" s="341">
        <v>4715</v>
      </c>
      <c r="Z23" s="341"/>
      <c r="AA23" s="341">
        <v>139641</v>
      </c>
      <c r="AB23" s="341"/>
    </row>
    <row r="24" spans="1:28" ht="15.75" thickBot="1" x14ac:dyDescent="0.3">
      <c r="A24" s="491"/>
      <c r="B24" s="14" t="s">
        <v>21</v>
      </c>
      <c r="C24" s="39">
        <v>7057.97</v>
      </c>
      <c r="D24" s="10">
        <v>1201.52</v>
      </c>
      <c r="E24" s="1">
        <v>1413.55</v>
      </c>
      <c r="F24" s="1">
        <v>3833.53</v>
      </c>
      <c r="G24" s="1">
        <v>476.22</v>
      </c>
      <c r="H24" s="199">
        <v>554.74</v>
      </c>
      <c r="I24" s="200"/>
      <c r="J24" s="1">
        <v>248.95</v>
      </c>
      <c r="K24" s="45">
        <v>239.62</v>
      </c>
      <c r="L24" s="1">
        <v>230.13</v>
      </c>
      <c r="M24" s="45">
        <v>461.85</v>
      </c>
      <c r="N24" s="1">
        <v>444.62</v>
      </c>
      <c r="O24" s="1">
        <v>427.38</v>
      </c>
      <c r="P24" s="199">
        <v>0</v>
      </c>
      <c r="Q24" s="200"/>
      <c r="R24" s="46">
        <v>819.38</v>
      </c>
      <c r="S24" s="1">
        <v>1209.94</v>
      </c>
      <c r="T24" s="201">
        <v>0.15</v>
      </c>
      <c r="U24" s="203"/>
      <c r="V24" s="199" t="s">
        <v>122</v>
      </c>
      <c r="W24" s="200"/>
      <c r="X24" s="22">
        <v>-0.1492</v>
      </c>
      <c r="Y24" s="341">
        <v>1513</v>
      </c>
      <c r="Z24" s="341"/>
      <c r="AA24" s="341">
        <v>26669</v>
      </c>
      <c r="AB24" s="341"/>
    </row>
    <row r="25" spans="1:28" ht="15.75" thickBot="1" x14ac:dyDescent="0.3">
      <c r="A25" s="491"/>
      <c r="B25" s="14" t="s">
        <v>24</v>
      </c>
      <c r="C25" s="39">
        <v>8303.49</v>
      </c>
      <c r="D25" s="1">
        <v>1413.55</v>
      </c>
      <c r="E25" s="1">
        <v>1413.55</v>
      </c>
      <c r="F25" s="1">
        <v>4279.29</v>
      </c>
      <c r="G25" s="1">
        <v>526.04999999999995</v>
      </c>
      <c r="H25" s="199">
        <v>555.74</v>
      </c>
      <c r="I25" s="200"/>
      <c r="J25" s="1">
        <v>392.58</v>
      </c>
      <c r="K25" s="45">
        <v>377.93</v>
      </c>
      <c r="L25" s="1">
        <v>363.28</v>
      </c>
      <c r="M25" s="45">
        <v>461.85</v>
      </c>
      <c r="N25" s="1">
        <v>444.62</v>
      </c>
      <c r="O25" s="1">
        <v>427.38</v>
      </c>
      <c r="P25" s="199">
        <v>2948.35</v>
      </c>
      <c r="Q25" s="200"/>
      <c r="R25" s="46">
        <v>1209.94</v>
      </c>
      <c r="S25" s="1">
        <v>1209.94</v>
      </c>
      <c r="T25" s="201">
        <v>0.22</v>
      </c>
      <c r="U25" s="203"/>
      <c r="V25" s="199" t="s">
        <v>122</v>
      </c>
      <c r="W25" s="200"/>
      <c r="X25" s="22">
        <v>-5.5899999999999998E-2</v>
      </c>
      <c r="Y25" s="341">
        <v>0</v>
      </c>
      <c r="Z25" s="341"/>
      <c r="AA25" s="341">
        <v>3051</v>
      </c>
      <c r="AB25" s="341"/>
    </row>
    <row r="26" spans="1:28" ht="15.75" thickBot="1" x14ac:dyDescent="0.3">
      <c r="A26" s="491"/>
      <c r="B26" s="14" t="s">
        <v>22</v>
      </c>
      <c r="C26" s="39">
        <v>8303.49</v>
      </c>
      <c r="D26" s="1">
        <v>1413.55</v>
      </c>
      <c r="E26" s="1">
        <v>1413.55</v>
      </c>
      <c r="F26" s="1">
        <v>4457.59</v>
      </c>
      <c r="G26" s="1">
        <v>553.74</v>
      </c>
      <c r="H26" s="199">
        <v>556.74</v>
      </c>
      <c r="I26" s="200"/>
      <c r="J26" s="1">
        <v>461.85</v>
      </c>
      <c r="K26" s="45">
        <v>444.62</v>
      </c>
      <c r="L26" s="1">
        <v>427.38</v>
      </c>
      <c r="M26" s="45">
        <v>461.85</v>
      </c>
      <c r="N26" s="1">
        <v>444.62</v>
      </c>
      <c r="O26" s="1">
        <v>427.38</v>
      </c>
      <c r="P26" s="199">
        <v>2949.35</v>
      </c>
      <c r="Q26" s="200"/>
      <c r="R26" s="46">
        <v>1209.94</v>
      </c>
      <c r="S26" s="1">
        <v>1209.94</v>
      </c>
      <c r="T26" s="201">
        <v>0.3</v>
      </c>
      <c r="U26" s="203"/>
      <c r="V26" s="199" t="s">
        <v>122</v>
      </c>
      <c r="W26" s="200"/>
      <c r="X26" s="22">
        <v>0</v>
      </c>
      <c r="Y26" s="296">
        <v>6228</v>
      </c>
      <c r="Z26" s="297"/>
      <c r="AA26" s="296">
        <v>169361</v>
      </c>
      <c r="AB26" s="297"/>
    </row>
    <row r="27" spans="1:28" ht="15.75" thickBot="1" x14ac:dyDescent="0.3">
      <c r="A27" s="491"/>
      <c r="B27" s="21" t="s">
        <v>23</v>
      </c>
      <c r="C27" s="39">
        <v>12455.24</v>
      </c>
      <c r="D27" s="22">
        <v>2120.33</v>
      </c>
      <c r="E27" s="22">
        <v>2120.33</v>
      </c>
      <c r="F27" s="22">
        <v>6686.39</v>
      </c>
      <c r="G27" s="22">
        <v>830.61</v>
      </c>
      <c r="H27" s="308">
        <v>830.61</v>
      </c>
      <c r="I27" s="309"/>
      <c r="J27" s="1">
        <v>554.23</v>
      </c>
      <c r="K27" s="45">
        <v>533.54</v>
      </c>
      <c r="L27" s="1">
        <v>427.38</v>
      </c>
      <c r="M27" s="45">
        <v>554.23</v>
      </c>
      <c r="N27" s="1">
        <v>533.54</v>
      </c>
      <c r="O27" s="1">
        <v>512.86</v>
      </c>
      <c r="P27" s="199">
        <v>3538.02</v>
      </c>
      <c r="Q27" s="200"/>
      <c r="R27" s="46">
        <v>1451.93</v>
      </c>
      <c r="S27" s="46">
        <v>1451.93</v>
      </c>
      <c r="T27" s="201">
        <v>0.65</v>
      </c>
      <c r="U27" s="203"/>
      <c r="V27" s="199" t="s">
        <v>122</v>
      </c>
      <c r="W27" s="200"/>
      <c r="X27" s="22">
        <v>0.5</v>
      </c>
      <c r="Y27" s="519"/>
      <c r="Z27" s="520"/>
      <c r="AA27" s="519"/>
      <c r="AB27" s="520"/>
    </row>
    <row r="28" spans="1:28" x14ac:dyDescent="0.25">
      <c r="A28" s="491"/>
      <c r="B28" s="351" t="s">
        <v>26</v>
      </c>
      <c r="C28" s="215">
        <v>13285.58</v>
      </c>
      <c r="D28" s="215">
        <v>2261.6799999999998</v>
      </c>
      <c r="E28" s="215">
        <v>2261.6799999999998</v>
      </c>
      <c r="F28" s="215">
        <v>7132.14</v>
      </c>
      <c r="G28" s="215">
        <v>885.98</v>
      </c>
      <c r="H28" s="207">
        <v>885.98</v>
      </c>
      <c r="I28" s="208"/>
      <c r="J28" s="310">
        <v>554.23</v>
      </c>
      <c r="K28" s="296">
        <v>533.54</v>
      </c>
      <c r="L28" s="215">
        <v>512.86</v>
      </c>
      <c r="M28" s="215">
        <v>554.23</v>
      </c>
      <c r="N28" s="215">
        <v>533.54</v>
      </c>
      <c r="O28" s="215">
        <v>512.86</v>
      </c>
      <c r="P28" s="206">
        <v>3538.02</v>
      </c>
      <c r="Q28" s="208"/>
      <c r="R28" s="215">
        <v>1451.93</v>
      </c>
      <c r="S28" s="215">
        <v>1451.93</v>
      </c>
      <c r="T28" s="296">
        <v>0.75</v>
      </c>
      <c r="U28" s="297"/>
      <c r="V28" s="206" t="s">
        <v>122</v>
      </c>
      <c r="W28" s="208"/>
      <c r="X28" s="310">
        <v>0.6</v>
      </c>
      <c r="Y28" s="519"/>
      <c r="Z28" s="520"/>
      <c r="AA28" s="519"/>
      <c r="AB28" s="520"/>
    </row>
    <row r="29" spans="1:28" ht="15.75" thickBot="1" x14ac:dyDescent="0.3">
      <c r="A29" s="492"/>
      <c r="B29" s="352"/>
      <c r="C29" s="216"/>
      <c r="D29" s="216"/>
      <c r="E29" s="216"/>
      <c r="F29" s="216"/>
      <c r="G29" s="216"/>
      <c r="H29" s="353"/>
      <c r="I29" s="214"/>
      <c r="J29" s="311"/>
      <c r="K29" s="298"/>
      <c r="L29" s="216"/>
      <c r="M29" s="216"/>
      <c r="N29" s="216"/>
      <c r="O29" s="216"/>
      <c r="P29" s="213"/>
      <c r="Q29" s="214"/>
      <c r="R29" s="216"/>
      <c r="S29" s="216"/>
      <c r="T29" s="298"/>
      <c r="U29" s="299"/>
      <c r="V29" s="213"/>
      <c r="W29" s="214"/>
      <c r="X29" s="311"/>
      <c r="Y29" s="298"/>
      <c r="Z29" s="299"/>
      <c r="AA29" s="298"/>
      <c r="AB29" s="299"/>
    </row>
    <row r="30" spans="1:28" ht="15.75" customHeight="1" thickBot="1" x14ac:dyDescent="0.3">
      <c r="A30" s="490">
        <v>42705</v>
      </c>
      <c r="B30" s="493" t="s">
        <v>4</v>
      </c>
      <c r="C30" s="495" t="s">
        <v>5</v>
      </c>
      <c r="D30" s="497" t="s">
        <v>6</v>
      </c>
      <c r="E30" s="498"/>
      <c r="F30" s="499" t="s">
        <v>5</v>
      </c>
      <c r="G30" s="501" t="s">
        <v>6</v>
      </c>
      <c r="H30" s="501"/>
      <c r="I30" s="501"/>
      <c r="J30" s="502" t="s">
        <v>91</v>
      </c>
      <c r="K30" s="503"/>
      <c r="L30" s="504"/>
      <c r="M30" s="502" t="s">
        <v>95</v>
      </c>
      <c r="N30" s="503"/>
      <c r="O30" s="504"/>
      <c r="P30" s="505" t="s">
        <v>37</v>
      </c>
      <c r="Q30" s="506"/>
      <c r="R30" s="482" t="s">
        <v>6</v>
      </c>
      <c r="S30" s="483"/>
      <c r="T30" s="484" t="s">
        <v>175</v>
      </c>
      <c r="U30" s="485"/>
      <c r="V30" s="485"/>
      <c r="W30" s="486"/>
      <c r="X30" s="477" t="s">
        <v>171</v>
      </c>
      <c r="Y30" s="473" t="s">
        <v>196</v>
      </c>
      <c r="Z30" s="474"/>
      <c r="AA30" s="473" t="s">
        <v>166</v>
      </c>
      <c r="AB30" s="474"/>
    </row>
    <row r="31" spans="1:28" ht="21.75" thickBot="1" x14ac:dyDescent="0.3">
      <c r="A31" s="491"/>
      <c r="B31" s="494"/>
      <c r="C31" s="496"/>
      <c r="D31" s="41" t="s">
        <v>7</v>
      </c>
      <c r="E31" s="41" t="s">
        <v>8</v>
      </c>
      <c r="F31" s="500"/>
      <c r="G31" s="42" t="s">
        <v>7</v>
      </c>
      <c r="H31" s="509" t="s">
        <v>8</v>
      </c>
      <c r="I31" s="510"/>
      <c r="J31" s="48" t="s">
        <v>93</v>
      </c>
      <c r="K31" s="49" t="s">
        <v>92</v>
      </c>
      <c r="L31" s="48" t="s">
        <v>94</v>
      </c>
      <c r="M31" s="48" t="s">
        <v>93</v>
      </c>
      <c r="N31" s="49" t="s">
        <v>92</v>
      </c>
      <c r="O31" s="48" t="s">
        <v>94</v>
      </c>
      <c r="P31" s="507"/>
      <c r="Q31" s="508"/>
      <c r="R31" s="51" t="s">
        <v>38</v>
      </c>
      <c r="S31" s="51" t="s">
        <v>39</v>
      </c>
      <c r="T31" s="487"/>
      <c r="U31" s="488"/>
      <c r="V31" s="488"/>
      <c r="W31" s="489"/>
      <c r="X31" s="478"/>
      <c r="Y31" s="475"/>
      <c r="Z31" s="476"/>
      <c r="AA31" s="475"/>
      <c r="AB31" s="476"/>
    </row>
    <row r="32" spans="1:28" ht="15.75" thickBot="1" x14ac:dyDescent="0.3">
      <c r="A32" s="491"/>
      <c r="B32" s="14" t="s">
        <v>25</v>
      </c>
      <c r="C32" s="39">
        <v>4483.88</v>
      </c>
      <c r="D32" s="1">
        <v>763.32</v>
      </c>
      <c r="E32" s="1">
        <v>1413.55</v>
      </c>
      <c r="F32" s="1">
        <v>3655.22</v>
      </c>
      <c r="G32" s="1">
        <v>454.07</v>
      </c>
      <c r="H32" s="199">
        <v>553.74</v>
      </c>
      <c r="I32" s="200"/>
      <c r="J32" s="146">
        <v>199.38</v>
      </c>
      <c r="K32" s="146">
        <v>191.91</v>
      </c>
      <c r="L32" s="146">
        <v>184.31</v>
      </c>
      <c r="M32" s="146">
        <v>471.89</v>
      </c>
      <c r="N32" s="146">
        <v>454.42</v>
      </c>
      <c r="O32" s="146">
        <v>437.01</v>
      </c>
      <c r="P32" s="199">
        <v>0</v>
      </c>
      <c r="Q32" s="200"/>
      <c r="R32" s="46">
        <v>657.84</v>
      </c>
      <c r="S32" s="1">
        <v>1262.6300000000001</v>
      </c>
      <c r="T32" s="201">
        <v>0.08</v>
      </c>
      <c r="U32" s="203"/>
      <c r="V32" s="199" t="s">
        <v>122</v>
      </c>
      <c r="W32" s="200"/>
      <c r="X32" s="22">
        <v>-0.1865</v>
      </c>
      <c r="Y32" s="341">
        <v>4715</v>
      </c>
      <c r="Z32" s="341"/>
      <c r="AA32" s="341">
        <v>139641</v>
      </c>
      <c r="AB32" s="341"/>
    </row>
    <row r="33" spans="1:28" ht="15.75" thickBot="1" x14ac:dyDescent="0.3">
      <c r="A33" s="491"/>
      <c r="B33" s="14" t="s">
        <v>21</v>
      </c>
      <c r="C33" s="39">
        <v>7057.97</v>
      </c>
      <c r="D33" s="10">
        <v>1201.52</v>
      </c>
      <c r="E33" s="1">
        <v>1413.55</v>
      </c>
      <c r="F33" s="1">
        <v>3833.53</v>
      </c>
      <c r="G33" s="1">
        <v>476.22</v>
      </c>
      <c r="H33" s="199">
        <v>554.74</v>
      </c>
      <c r="I33" s="200"/>
      <c r="J33" s="146">
        <v>249.23</v>
      </c>
      <c r="K33" s="146">
        <v>239.89</v>
      </c>
      <c r="L33" s="146">
        <v>230.39</v>
      </c>
      <c r="M33" s="146">
        <v>471.89</v>
      </c>
      <c r="N33" s="146">
        <v>454.42</v>
      </c>
      <c r="O33" s="146">
        <v>437.01</v>
      </c>
      <c r="P33" s="199">
        <v>0</v>
      </c>
      <c r="Q33" s="200"/>
      <c r="R33" s="46">
        <v>818.93</v>
      </c>
      <c r="S33" s="1">
        <v>1262.6300000000001</v>
      </c>
      <c r="T33" s="201">
        <v>0.15</v>
      </c>
      <c r="U33" s="203"/>
      <c r="V33" s="199" t="s">
        <v>122</v>
      </c>
      <c r="W33" s="200"/>
      <c r="X33" s="22">
        <v>-0.1492</v>
      </c>
      <c r="Y33" s="341">
        <v>1513</v>
      </c>
      <c r="Z33" s="341"/>
      <c r="AA33" s="341">
        <v>26669</v>
      </c>
      <c r="AB33" s="341"/>
    </row>
    <row r="34" spans="1:28" ht="15.75" thickBot="1" x14ac:dyDescent="0.3">
      <c r="A34" s="491"/>
      <c r="B34" s="14" t="s">
        <v>24</v>
      </c>
      <c r="C34" s="39">
        <v>8303.49</v>
      </c>
      <c r="D34" s="1">
        <v>1413.55</v>
      </c>
      <c r="E34" s="1">
        <v>1413.55</v>
      </c>
      <c r="F34" s="1">
        <v>4279.29</v>
      </c>
      <c r="G34" s="1">
        <v>526.04999999999995</v>
      </c>
      <c r="H34" s="199">
        <v>555.74</v>
      </c>
      <c r="I34" s="200"/>
      <c r="J34" s="146">
        <v>401.06</v>
      </c>
      <c r="K34" s="146">
        <v>386.26</v>
      </c>
      <c r="L34" s="146">
        <v>371.46</v>
      </c>
      <c r="M34" s="146">
        <v>471.89</v>
      </c>
      <c r="N34" s="146">
        <v>454.42</v>
      </c>
      <c r="O34" s="146">
        <v>437.01</v>
      </c>
      <c r="P34" s="199">
        <v>2937.67</v>
      </c>
      <c r="Q34" s="200"/>
      <c r="R34" s="46">
        <v>1262.6300000000001</v>
      </c>
      <c r="S34" s="1">
        <v>1262.6300000000001</v>
      </c>
      <c r="T34" s="201">
        <v>0.22</v>
      </c>
      <c r="U34" s="203"/>
      <c r="V34" s="199" t="s">
        <v>122</v>
      </c>
      <c r="W34" s="200"/>
      <c r="X34" s="22">
        <v>-5.5899999999999998E-2</v>
      </c>
      <c r="Y34" s="341">
        <v>0</v>
      </c>
      <c r="Z34" s="341"/>
      <c r="AA34" s="341">
        <v>3051</v>
      </c>
      <c r="AB34" s="341"/>
    </row>
    <row r="35" spans="1:28" ht="15.75" thickBot="1" x14ac:dyDescent="0.3">
      <c r="A35" s="491"/>
      <c r="B35" s="14" t="s">
        <v>22</v>
      </c>
      <c r="C35" s="39">
        <v>8303.49</v>
      </c>
      <c r="D35" s="1">
        <v>1413.55</v>
      </c>
      <c r="E35" s="1">
        <v>1413.55</v>
      </c>
      <c r="F35" s="1">
        <v>4457.59</v>
      </c>
      <c r="G35" s="1">
        <v>553.74</v>
      </c>
      <c r="H35" s="199">
        <v>556.74</v>
      </c>
      <c r="I35" s="200"/>
      <c r="J35" s="146">
        <v>471.84</v>
      </c>
      <c r="K35" s="146">
        <v>454.42</v>
      </c>
      <c r="L35" s="146">
        <v>437.01</v>
      </c>
      <c r="M35" s="146">
        <v>471.89</v>
      </c>
      <c r="N35" s="146">
        <v>454.42</v>
      </c>
      <c r="O35" s="146">
        <v>437.01</v>
      </c>
      <c r="P35" s="199">
        <v>2938.67</v>
      </c>
      <c r="Q35" s="200"/>
      <c r="R35" s="46">
        <v>1262.6300000000001</v>
      </c>
      <c r="S35" s="1">
        <v>1262.6300000000001</v>
      </c>
      <c r="T35" s="201">
        <v>0.3</v>
      </c>
      <c r="U35" s="203"/>
      <c r="V35" s="199" t="s">
        <v>122</v>
      </c>
      <c r="W35" s="200"/>
      <c r="X35" s="22">
        <v>0</v>
      </c>
      <c r="Y35" s="296">
        <v>6228</v>
      </c>
      <c r="Z35" s="297"/>
      <c r="AA35" s="296">
        <v>169361</v>
      </c>
      <c r="AB35" s="297"/>
    </row>
    <row r="36" spans="1:28" ht="15.75" thickBot="1" x14ac:dyDescent="0.3">
      <c r="A36" s="491"/>
      <c r="B36" s="21" t="s">
        <v>23</v>
      </c>
      <c r="C36" s="39">
        <v>12455.24</v>
      </c>
      <c r="D36" s="22">
        <v>2120.33</v>
      </c>
      <c r="E36" s="22">
        <v>2120.33</v>
      </c>
      <c r="F36" s="22">
        <v>6686.39</v>
      </c>
      <c r="G36" s="22">
        <v>830.61</v>
      </c>
      <c r="H36" s="308">
        <v>830.61</v>
      </c>
      <c r="I36" s="309"/>
      <c r="J36" s="146">
        <v>566.20000000000005</v>
      </c>
      <c r="K36" s="146">
        <v>545.30999999999995</v>
      </c>
      <c r="L36" s="146" t="s">
        <v>199</v>
      </c>
      <c r="M36" s="146">
        <v>471.89</v>
      </c>
      <c r="N36" s="146">
        <v>454.42</v>
      </c>
      <c r="O36" s="146">
        <v>437.01</v>
      </c>
      <c r="P36" s="199">
        <v>3525.2</v>
      </c>
      <c r="Q36" s="200"/>
      <c r="R36" s="46">
        <v>1515.16</v>
      </c>
      <c r="S36" s="46">
        <v>1515.16</v>
      </c>
      <c r="T36" s="201">
        <v>0.65</v>
      </c>
      <c r="U36" s="203"/>
      <c r="V36" s="199" t="s">
        <v>122</v>
      </c>
      <c r="W36" s="200"/>
      <c r="X36" s="22">
        <v>0.5</v>
      </c>
      <c r="Y36" s="519"/>
      <c r="Z36" s="520"/>
      <c r="AA36" s="519"/>
      <c r="AB36" s="520"/>
    </row>
    <row r="37" spans="1:28" x14ac:dyDescent="0.25">
      <c r="A37" s="491"/>
      <c r="B37" s="351" t="s">
        <v>26</v>
      </c>
      <c r="C37" s="215">
        <v>13285.58</v>
      </c>
      <c r="D37" s="215">
        <v>2261.6799999999998</v>
      </c>
      <c r="E37" s="215">
        <v>2261.6799999999998</v>
      </c>
      <c r="F37" s="215">
        <v>7132.14</v>
      </c>
      <c r="G37" s="215">
        <v>885.98</v>
      </c>
      <c r="H37" s="207">
        <v>885.98</v>
      </c>
      <c r="I37" s="208"/>
      <c r="J37" s="513">
        <v>566.20000000000005</v>
      </c>
      <c r="K37" s="515">
        <v>545.30999999999995</v>
      </c>
      <c r="L37" s="513" t="s">
        <v>199</v>
      </c>
      <c r="M37" s="517">
        <v>471.89</v>
      </c>
      <c r="N37" s="517">
        <v>454.42</v>
      </c>
      <c r="O37" s="513">
        <v>437.01</v>
      </c>
      <c r="P37" s="206">
        <v>3525.2</v>
      </c>
      <c r="Q37" s="208"/>
      <c r="R37" s="215">
        <v>1515.16</v>
      </c>
      <c r="S37" s="215">
        <v>1515.16</v>
      </c>
      <c r="T37" s="296">
        <v>0.75</v>
      </c>
      <c r="U37" s="297"/>
      <c r="V37" s="206" t="s">
        <v>122</v>
      </c>
      <c r="W37" s="208"/>
      <c r="X37" s="310">
        <v>0.6</v>
      </c>
      <c r="Y37" s="519"/>
      <c r="Z37" s="520"/>
      <c r="AA37" s="519"/>
      <c r="AB37" s="520"/>
    </row>
    <row r="38" spans="1:28" ht="15.75" thickBot="1" x14ac:dyDescent="0.3">
      <c r="A38" s="492"/>
      <c r="B38" s="352"/>
      <c r="C38" s="216"/>
      <c r="D38" s="216"/>
      <c r="E38" s="216"/>
      <c r="F38" s="216"/>
      <c r="G38" s="216"/>
      <c r="H38" s="353"/>
      <c r="I38" s="214"/>
      <c r="J38" s="514"/>
      <c r="K38" s="516"/>
      <c r="L38" s="514"/>
      <c r="M38" s="518"/>
      <c r="N38" s="518"/>
      <c r="O38" s="514"/>
      <c r="P38" s="213"/>
      <c r="Q38" s="214"/>
      <c r="R38" s="216"/>
      <c r="S38" s="216"/>
      <c r="T38" s="298"/>
      <c r="U38" s="299"/>
      <c r="V38" s="213"/>
      <c r="W38" s="214"/>
      <c r="X38" s="311"/>
      <c r="Y38" s="298"/>
      <c r="Z38" s="299"/>
      <c r="AA38" s="298"/>
      <c r="AB38" s="299"/>
    </row>
    <row r="39" spans="1:28" ht="15.75" thickBot="1" x14ac:dyDescent="0.3">
      <c r="A39" s="490">
        <v>42736</v>
      </c>
      <c r="B39" s="493" t="s">
        <v>4</v>
      </c>
      <c r="C39" s="495" t="s">
        <v>5</v>
      </c>
      <c r="D39" s="497" t="s">
        <v>6</v>
      </c>
      <c r="E39" s="498"/>
      <c r="F39" s="499" t="s">
        <v>5</v>
      </c>
      <c r="G39" s="501" t="s">
        <v>6</v>
      </c>
      <c r="H39" s="501"/>
      <c r="I39" s="501"/>
      <c r="J39" s="502" t="s">
        <v>91</v>
      </c>
      <c r="K39" s="503"/>
      <c r="L39" s="504"/>
      <c r="M39" s="502" t="s">
        <v>95</v>
      </c>
      <c r="N39" s="503"/>
      <c r="O39" s="504"/>
      <c r="P39" s="505" t="s">
        <v>37</v>
      </c>
      <c r="Q39" s="506"/>
      <c r="R39" s="482" t="s">
        <v>6</v>
      </c>
      <c r="S39" s="483"/>
      <c r="T39" s="484" t="s">
        <v>51</v>
      </c>
      <c r="U39" s="485"/>
      <c r="V39" s="485"/>
      <c r="W39" s="486"/>
      <c r="X39" s="477" t="s">
        <v>171</v>
      </c>
      <c r="Y39" s="473" t="s">
        <v>196</v>
      </c>
      <c r="Z39" s="474"/>
      <c r="AA39" s="473" t="s">
        <v>166</v>
      </c>
      <c r="AB39" s="474"/>
    </row>
    <row r="40" spans="1:28" ht="21.75" thickBot="1" x14ac:dyDescent="0.3">
      <c r="A40" s="491"/>
      <c r="B40" s="494"/>
      <c r="C40" s="496"/>
      <c r="D40" s="41" t="s">
        <v>7</v>
      </c>
      <c r="E40" s="41" t="s">
        <v>8</v>
      </c>
      <c r="F40" s="500"/>
      <c r="G40" s="42" t="s">
        <v>7</v>
      </c>
      <c r="H40" s="509" t="s">
        <v>8</v>
      </c>
      <c r="I40" s="510"/>
      <c r="J40" s="48" t="s">
        <v>93</v>
      </c>
      <c r="K40" s="49" t="s">
        <v>92</v>
      </c>
      <c r="L40" s="48" t="s">
        <v>94</v>
      </c>
      <c r="M40" s="48" t="s">
        <v>93</v>
      </c>
      <c r="N40" s="49" t="s">
        <v>92</v>
      </c>
      <c r="O40" s="48" t="s">
        <v>94</v>
      </c>
      <c r="P40" s="507"/>
      <c r="Q40" s="508"/>
      <c r="R40" s="51" t="s">
        <v>38</v>
      </c>
      <c r="S40" s="51" t="s">
        <v>39</v>
      </c>
      <c r="T40" s="487"/>
      <c r="U40" s="488"/>
      <c r="V40" s="488"/>
      <c r="W40" s="489"/>
      <c r="X40" s="478"/>
      <c r="Y40" s="475"/>
      <c r="Z40" s="476"/>
      <c r="AA40" s="475"/>
      <c r="AB40" s="476"/>
    </row>
    <row r="41" spans="1:28" ht="15.75" thickBot="1" x14ac:dyDescent="0.3">
      <c r="A41" s="491"/>
      <c r="B41" s="14" t="s">
        <v>25</v>
      </c>
      <c r="C41" s="39"/>
      <c r="D41" s="1"/>
      <c r="E41" s="1"/>
      <c r="F41" s="1"/>
      <c r="G41" s="1"/>
      <c r="H41" s="199"/>
      <c r="I41" s="200"/>
      <c r="J41" s="146"/>
      <c r="K41" s="146"/>
      <c r="L41" s="146"/>
      <c r="M41" s="146"/>
      <c r="N41" s="146"/>
      <c r="O41" s="146"/>
      <c r="P41" s="199">
        <v>0</v>
      </c>
      <c r="Q41" s="200"/>
      <c r="R41" s="22">
        <v>658.62</v>
      </c>
      <c r="S41" s="22">
        <v>1312.92</v>
      </c>
      <c r="T41" s="199" t="s">
        <v>191</v>
      </c>
      <c r="U41" s="200"/>
      <c r="V41" s="199" t="s">
        <v>191</v>
      </c>
      <c r="W41" s="200"/>
      <c r="X41" s="22">
        <v>-0.7</v>
      </c>
      <c r="Y41" s="341">
        <v>1513.46</v>
      </c>
      <c r="Z41" s="341"/>
      <c r="AA41" s="341">
        <v>120092.49</v>
      </c>
      <c r="AB41" s="341"/>
    </row>
    <row r="42" spans="1:28" ht="15.75" thickBot="1" x14ac:dyDescent="0.3">
      <c r="A42" s="491"/>
      <c r="B42" s="14" t="s">
        <v>21</v>
      </c>
      <c r="C42" s="39"/>
      <c r="D42" s="10"/>
      <c r="E42" s="1"/>
      <c r="F42" s="1"/>
      <c r="G42" s="1"/>
      <c r="H42" s="199"/>
      <c r="I42" s="200"/>
      <c r="J42" s="146"/>
      <c r="K42" s="146"/>
      <c r="L42" s="146"/>
      <c r="M42" s="146"/>
      <c r="N42" s="146"/>
      <c r="O42" s="146"/>
      <c r="P42" s="199">
        <v>0</v>
      </c>
      <c r="Q42" s="200"/>
      <c r="R42" s="22">
        <v>819.78</v>
      </c>
      <c r="S42" s="22">
        <v>1312.92</v>
      </c>
      <c r="T42" s="199" t="s">
        <v>191</v>
      </c>
      <c r="U42" s="200"/>
      <c r="V42" s="199" t="s">
        <v>191</v>
      </c>
      <c r="W42" s="200"/>
      <c r="X42" s="22">
        <v>-0.4</v>
      </c>
      <c r="Y42" s="341">
        <v>4.13</v>
      </c>
      <c r="Z42" s="341"/>
      <c r="AA42" s="341">
        <v>26669.37</v>
      </c>
      <c r="AB42" s="341"/>
    </row>
    <row r="43" spans="1:28" ht="15.75" thickBot="1" x14ac:dyDescent="0.3">
      <c r="A43" s="491"/>
      <c r="B43" s="14" t="s">
        <v>24</v>
      </c>
      <c r="C43" s="39"/>
      <c r="D43" s="1"/>
      <c r="E43" s="1"/>
      <c r="F43" s="1"/>
      <c r="G43" s="1"/>
      <c r="H43" s="199"/>
      <c r="I43" s="200"/>
      <c r="J43" s="146"/>
      <c r="K43" s="146"/>
      <c r="L43" s="146"/>
      <c r="M43" s="146"/>
      <c r="N43" s="146"/>
      <c r="O43" s="146"/>
      <c r="P43" s="199">
        <v>2937.67</v>
      </c>
      <c r="Q43" s="200"/>
      <c r="R43" s="22">
        <v>1312.92</v>
      </c>
      <c r="S43" s="22">
        <v>1312.92</v>
      </c>
      <c r="T43" s="199" t="s">
        <v>191</v>
      </c>
      <c r="U43" s="200"/>
      <c r="V43" s="199" t="s">
        <v>191</v>
      </c>
      <c r="W43" s="200"/>
      <c r="X43" s="22">
        <v>-0.15</v>
      </c>
      <c r="Y43" s="341">
        <v>3961.68</v>
      </c>
      <c r="Z43" s="341"/>
      <c r="AA43" s="341">
        <v>3051.11</v>
      </c>
      <c r="AB43" s="341"/>
    </row>
    <row r="44" spans="1:28" ht="15.75" thickBot="1" x14ac:dyDescent="0.3">
      <c r="A44" s="491"/>
      <c r="B44" s="14" t="s">
        <v>22</v>
      </c>
      <c r="C44" s="39"/>
      <c r="D44" s="1"/>
      <c r="E44" s="1"/>
      <c r="F44" s="1"/>
      <c r="G44" s="1"/>
      <c r="H44" s="199"/>
      <c r="I44" s="200"/>
      <c r="J44" s="146"/>
      <c r="K44" s="146"/>
      <c r="L44" s="146"/>
      <c r="M44" s="146"/>
      <c r="N44" s="146"/>
      <c r="O44" s="146"/>
      <c r="P44" s="199">
        <v>2938.67</v>
      </c>
      <c r="Q44" s="200"/>
      <c r="R44" s="22">
        <v>1312.92</v>
      </c>
      <c r="S44" s="22">
        <v>1312.92</v>
      </c>
      <c r="T44" s="199" t="s">
        <v>191</v>
      </c>
      <c r="U44" s="200"/>
      <c r="V44" s="199" t="s">
        <v>191</v>
      </c>
      <c r="W44" s="200"/>
      <c r="X44" s="22">
        <v>0</v>
      </c>
      <c r="Y44" s="296">
        <v>5479.27</v>
      </c>
      <c r="Z44" s="297"/>
      <c r="AA44" s="296" t="s">
        <v>166</v>
      </c>
      <c r="AB44" s="297"/>
    </row>
    <row r="45" spans="1:28" ht="15.75" thickBot="1" x14ac:dyDescent="0.3">
      <c r="A45" s="491"/>
      <c r="B45" s="21" t="s">
        <v>23</v>
      </c>
      <c r="C45" s="39"/>
      <c r="D45" s="22"/>
      <c r="E45" s="22"/>
      <c r="F45" s="22"/>
      <c r="G45" s="22"/>
      <c r="H45" s="308"/>
      <c r="I45" s="309"/>
      <c r="J45" s="146"/>
      <c r="K45" s="146"/>
      <c r="L45" s="146"/>
      <c r="M45" s="146"/>
      <c r="N45" s="146"/>
      <c r="O45" s="146"/>
      <c r="P45" s="199">
        <v>3524.77</v>
      </c>
      <c r="Q45" s="200"/>
      <c r="R45" s="22">
        <v>1575.5</v>
      </c>
      <c r="S45" s="22">
        <v>1575.5</v>
      </c>
      <c r="T45" s="199" t="s">
        <v>191</v>
      </c>
      <c r="U45" s="200"/>
      <c r="V45" s="199" t="s">
        <v>191</v>
      </c>
      <c r="W45" s="200"/>
      <c r="X45" s="22">
        <v>0.5</v>
      </c>
      <c r="Y45" s="519"/>
      <c r="Z45" s="520"/>
      <c r="AA45" s="519"/>
      <c r="AB45" s="520"/>
    </row>
    <row r="46" spans="1:28" x14ac:dyDescent="0.25">
      <c r="A46" s="491"/>
      <c r="B46" s="351" t="s">
        <v>26</v>
      </c>
      <c r="C46" s="215"/>
      <c r="D46" s="215"/>
      <c r="E46" s="215"/>
      <c r="F46" s="215"/>
      <c r="G46" s="215"/>
      <c r="H46" s="207"/>
      <c r="I46" s="208"/>
      <c r="J46" s="513"/>
      <c r="K46" s="515"/>
      <c r="L46" s="513"/>
      <c r="M46" s="517"/>
      <c r="N46" s="517"/>
      <c r="O46" s="513"/>
      <c r="P46" s="206">
        <v>3524.77</v>
      </c>
      <c r="Q46" s="208"/>
      <c r="R46" s="310">
        <v>1575.5</v>
      </c>
      <c r="S46" s="310">
        <v>1575.5</v>
      </c>
      <c r="T46" s="296" t="s">
        <v>191</v>
      </c>
      <c r="U46" s="297"/>
      <c r="V46" s="296" t="s">
        <v>191</v>
      </c>
      <c r="W46" s="297"/>
      <c r="X46" s="310">
        <v>0.6</v>
      </c>
      <c r="Y46" s="519"/>
      <c r="Z46" s="520"/>
      <c r="AA46" s="519"/>
      <c r="AB46" s="520"/>
    </row>
    <row r="47" spans="1:28" ht="15.75" thickBot="1" x14ac:dyDescent="0.3">
      <c r="A47" s="492"/>
      <c r="B47" s="352"/>
      <c r="C47" s="216"/>
      <c r="D47" s="216"/>
      <c r="E47" s="216"/>
      <c r="F47" s="216"/>
      <c r="G47" s="216"/>
      <c r="H47" s="353"/>
      <c r="I47" s="214"/>
      <c r="J47" s="514"/>
      <c r="K47" s="516"/>
      <c r="L47" s="514"/>
      <c r="M47" s="518"/>
      <c r="N47" s="518"/>
      <c r="O47" s="514"/>
      <c r="P47" s="213"/>
      <c r="Q47" s="214"/>
      <c r="R47" s="311"/>
      <c r="S47" s="311"/>
      <c r="T47" s="298"/>
      <c r="U47" s="299"/>
      <c r="V47" s="298"/>
      <c r="W47" s="299"/>
      <c r="X47" s="311"/>
      <c r="Y47" s="298"/>
      <c r="Z47" s="299"/>
      <c r="AA47" s="298"/>
      <c r="AB47" s="299"/>
    </row>
    <row r="51" spans="2:2" x14ac:dyDescent="0.25">
      <c r="B51" t="s">
        <v>176</v>
      </c>
    </row>
    <row r="52" spans="2:2" x14ac:dyDescent="0.25">
      <c r="B52" t="s">
        <v>177</v>
      </c>
    </row>
  </sheetData>
  <mergeCells count="317">
    <mergeCell ref="T46:U47"/>
    <mergeCell ref="V46:W47"/>
    <mergeCell ref="X46:X47"/>
    <mergeCell ref="T44:U44"/>
    <mergeCell ref="V44:W44"/>
    <mergeCell ref="Y44:Z47"/>
    <mergeCell ref="AA44:AB47"/>
    <mergeCell ref="H45:I45"/>
    <mergeCell ref="P45:Q45"/>
    <mergeCell ref="T45:U45"/>
    <mergeCell ref="V45:W45"/>
    <mergeCell ref="L46:L47"/>
    <mergeCell ref="M46:M47"/>
    <mergeCell ref="N46:N47"/>
    <mergeCell ref="O46:O47"/>
    <mergeCell ref="P46:Q47"/>
    <mergeCell ref="R46:R47"/>
    <mergeCell ref="S46:S47"/>
    <mergeCell ref="T42:U42"/>
    <mergeCell ref="V42:W42"/>
    <mergeCell ref="Y42:Z42"/>
    <mergeCell ref="AA42:AB42"/>
    <mergeCell ref="H43:I43"/>
    <mergeCell ref="P43:Q43"/>
    <mergeCell ref="T43:U43"/>
    <mergeCell ref="V43:W43"/>
    <mergeCell ref="Y43:Z43"/>
    <mergeCell ref="AA43:AB43"/>
    <mergeCell ref="R39:S39"/>
    <mergeCell ref="T39:W40"/>
    <mergeCell ref="X39:X40"/>
    <mergeCell ref="Y39:Z40"/>
    <mergeCell ref="AA39:AB40"/>
    <mergeCell ref="H40:I40"/>
    <mergeCell ref="H41:I41"/>
    <mergeCell ref="P41:Q41"/>
    <mergeCell ref="T41:U41"/>
    <mergeCell ref="V41:W41"/>
    <mergeCell ref="Y41:Z41"/>
    <mergeCell ref="AA41:AB41"/>
    <mergeCell ref="A39:A47"/>
    <mergeCell ref="B39:B40"/>
    <mergeCell ref="C39:C40"/>
    <mergeCell ref="D39:E39"/>
    <mergeCell ref="F39:F40"/>
    <mergeCell ref="G39:I39"/>
    <mergeCell ref="J39:L39"/>
    <mergeCell ref="M39:O39"/>
    <mergeCell ref="P39:Q40"/>
    <mergeCell ref="H42:I42"/>
    <mergeCell ref="P42:Q42"/>
    <mergeCell ref="H44:I44"/>
    <mergeCell ref="P44:Q44"/>
    <mergeCell ref="B46:B47"/>
    <mergeCell ref="C46:C47"/>
    <mergeCell ref="D46:D47"/>
    <mergeCell ref="E46:E47"/>
    <mergeCell ref="F46:F47"/>
    <mergeCell ref="G46:G47"/>
    <mergeCell ref="H46:I47"/>
    <mergeCell ref="J46:J47"/>
    <mergeCell ref="K46:K47"/>
    <mergeCell ref="Y35:Z38"/>
    <mergeCell ref="AA35:AB38"/>
    <mergeCell ref="X37:X38"/>
    <mergeCell ref="A1:W1"/>
    <mergeCell ref="B2:E2"/>
    <mergeCell ref="F2:I2"/>
    <mergeCell ref="J2:O2"/>
    <mergeCell ref="P2:S2"/>
    <mergeCell ref="T2:W2"/>
    <mergeCell ref="J3:L3"/>
    <mergeCell ref="M3:O3"/>
    <mergeCell ref="P3:Q4"/>
    <mergeCell ref="R3:S3"/>
    <mergeCell ref="T3:W4"/>
    <mergeCell ref="H4:I4"/>
    <mergeCell ref="A3:A11"/>
    <mergeCell ref="B3:B4"/>
    <mergeCell ref="C3:C4"/>
    <mergeCell ref="D3:E3"/>
    <mergeCell ref="F3:F4"/>
    <mergeCell ref="G3:I3"/>
    <mergeCell ref="H5:I5"/>
    <mergeCell ref="H7:I7"/>
    <mergeCell ref="H9:I9"/>
    <mergeCell ref="P7:Q7"/>
    <mergeCell ref="T7:U7"/>
    <mergeCell ref="V7:W7"/>
    <mergeCell ref="H8:I8"/>
    <mergeCell ref="P8:Q8"/>
    <mergeCell ref="T8:U8"/>
    <mergeCell ref="V8:W8"/>
    <mergeCell ref="P5:Q5"/>
    <mergeCell ref="T5:U5"/>
    <mergeCell ref="V5:W5"/>
    <mergeCell ref="H6:I6"/>
    <mergeCell ref="P6:Q6"/>
    <mergeCell ref="T6:U6"/>
    <mergeCell ref="V6:W6"/>
    <mergeCell ref="P9:Q9"/>
    <mergeCell ref="T9:U9"/>
    <mergeCell ref="V9:W9"/>
    <mergeCell ref="B10:B11"/>
    <mergeCell ref="C10:C11"/>
    <mergeCell ref="D10:D11"/>
    <mergeCell ref="E10:E11"/>
    <mergeCell ref="F10:F11"/>
    <mergeCell ref="G10:G11"/>
    <mergeCell ref="H10:I11"/>
    <mergeCell ref="P10:Q11"/>
    <mergeCell ref="R10:R11"/>
    <mergeCell ref="S10:S11"/>
    <mergeCell ref="T10:U11"/>
    <mergeCell ref="V10:W11"/>
    <mergeCell ref="N10:N11"/>
    <mergeCell ref="O10:O11"/>
    <mergeCell ref="J10:J11"/>
    <mergeCell ref="K10:K11"/>
    <mergeCell ref="L10:L11"/>
    <mergeCell ref="M10:M11"/>
    <mergeCell ref="A12:A20"/>
    <mergeCell ref="B12:B13"/>
    <mergeCell ref="C12:C13"/>
    <mergeCell ref="D12:E12"/>
    <mergeCell ref="F12:F13"/>
    <mergeCell ref="P12:Q13"/>
    <mergeCell ref="R12:S12"/>
    <mergeCell ref="T12:W13"/>
    <mergeCell ref="H13:I13"/>
    <mergeCell ref="G12:I12"/>
    <mergeCell ref="J12:L12"/>
    <mergeCell ref="M12:O12"/>
    <mergeCell ref="P16:Q16"/>
    <mergeCell ref="T16:U16"/>
    <mergeCell ref="V16:W16"/>
    <mergeCell ref="H17:I17"/>
    <mergeCell ref="P17:Q17"/>
    <mergeCell ref="T17:U17"/>
    <mergeCell ref="V17:W17"/>
    <mergeCell ref="H14:I14"/>
    <mergeCell ref="P14:Q14"/>
    <mergeCell ref="T14:U14"/>
    <mergeCell ref="V14:W14"/>
    <mergeCell ref="H15:I15"/>
    <mergeCell ref="P15:Q15"/>
    <mergeCell ref="T15:U15"/>
    <mergeCell ref="V15:W15"/>
    <mergeCell ref="H16:I16"/>
    <mergeCell ref="P18:Q18"/>
    <mergeCell ref="T18:U18"/>
    <mergeCell ref="V18:W18"/>
    <mergeCell ref="B19:B20"/>
    <mergeCell ref="C19:C20"/>
    <mergeCell ref="D19:D20"/>
    <mergeCell ref="E19:E20"/>
    <mergeCell ref="F19:F20"/>
    <mergeCell ref="G19:G20"/>
    <mergeCell ref="O19:O20"/>
    <mergeCell ref="P19:Q20"/>
    <mergeCell ref="R19:R20"/>
    <mergeCell ref="S19:S20"/>
    <mergeCell ref="T19:U20"/>
    <mergeCell ref="V19:W20"/>
    <mergeCell ref="H19:I20"/>
    <mergeCell ref="J19:J20"/>
    <mergeCell ref="K19:K20"/>
    <mergeCell ref="L19:L20"/>
    <mergeCell ref="M19:M20"/>
    <mergeCell ref="N19:N20"/>
    <mergeCell ref="H18:I18"/>
    <mergeCell ref="J21:L21"/>
    <mergeCell ref="M21:O21"/>
    <mergeCell ref="P21:Q22"/>
    <mergeCell ref="R21:S21"/>
    <mergeCell ref="T21:W22"/>
    <mergeCell ref="H22:I22"/>
    <mergeCell ref="A21:A29"/>
    <mergeCell ref="B21:B22"/>
    <mergeCell ref="C21:C22"/>
    <mergeCell ref="D21:E21"/>
    <mergeCell ref="F21:F22"/>
    <mergeCell ref="G21:I21"/>
    <mergeCell ref="H23:I23"/>
    <mergeCell ref="H25:I25"/>
    <mergeCell ref="H27:I27"/>
    <mergeCell ref="P25:Q25"/>
    <mergeCell ref="T25:U25"/>
    <mergeCell ref="V25:W25"/>
    <mergeCell ref="H26:I26"/>
    <mergeCell ref="P26:Q26"/>
    <mergeCell ref="T26:U26"/>
    <mergeCell ref="V26:W26"/>
    <mergeCell ref="P23:Q23"/>
    <mergeCell ref="T23:U23"/>
    <mergeCell ref="V23:W23"/>
    <mergeCell ref="H24:I24"/>
    <mergeCell ref="P24:Q24"/>
    <mergeCell ref="T24:U24"/>
    <mergeCell ref="V24:W24"/>
    <mergeCell ref="P27:Q27"/>
    <mergeCell ref="T27:U27"/>
    <mergeCell ref="V27:W27"/>
    <mergeCell ref="B28:B29"/>
    <mergeCell ref="C28:C29"/>
    <mergeCell ref="D28:D29"/>
    <mergeCell ref="E28:E29"/>
    <mergeCell ref="F28:F29"/>
    <mergeCell ref="G28:G29"/>
    <mergeCell ref="H28:I29"/>
    <mergeCell ref="A30:A38"/>
    <mergeCell ref="B30:B31"/>
    <mergeCell ref="C30:C31"/>
    <mergeCell ref="D30:E30"/>
    <mergeCell ref="F30:F31"/>
    <mergeCell ref="P30:Q31"/>
    <mergeCell ref="R30:S30"/>
    <mergeCell ref="T30:W31"/>
    <mergeCell ref="H31:I31"/>
    <mergeCell ref="P28:Q29"/>
    <mergeCell ref="R28:R29"/>
    <mergeCell ref="S28:S29"/>
    <mergeCell ref="T28:U29"/>
    <mergeCell ref="V28:W29"/>
    <mergeCell ref="N28:N29"/>
    <mergeCell ref="O28:O29"/>
    <mergeCell ref="J28:J29"/>
    <mergeCell ref="K28:K29"/>
    <mergeCell ref="L28:L29"/>
    <mergeCell ref="M28:M29"/>
    <mergeCell ref="G30:I30"/>
    <mergeCell ref="J30:L30"/>
    <mergeCell ref="M30:O30"/>
    <mergeCell ref="P34:Q34"/>
    <mergeCell ref="T34:U34"/>
    <mergeCell ref="V34:W34"/>
    <mergeCell ref="H35:I35"/>
    <mergeCell ref="P35:Q35"/>
    <mergeCell ref="T35:U35"/>
    <mergeCell ref="V35:W35"/>
    <mergeCell ref="H32:I32"/>
    <mergeCell ref="P32:Q32"/>
    <mergeCell ref="T32:U32"/>
    <mergeCell ref="V32:W32"/>
    <mergeCell ref="H33:I33"/>
    <mergeCell ref="P33:Q33"/>
    <mergeCell ref="T33:U33"/>
    <mergeCell ref="V33:W33"/>
    <mergeCell ref="H34:I34"/>
    <mergeCell ref="P36:Q36"/>
    <mergeCell ref="T36:U36"/>
    <mergeCell ref="V36:W36"/>
    <mergeCell ref="B37:B38"/>
    <mergeCell ref="C37:C38"/>
    <mergeCell ref="D37:D38"/>
    <mergeCell ref="E37:E38"/>
    <mergeCell ref="F37:F38"/>
    <mergeCell ref="G37:G38"/>
    <mergeCell ref="O37:O38"/>
    <mergeCell ref="P37:Q38"/>
    <mergeCell ref="R37:R38"/>
    <mergeCell ref="S37:S38"/>
    <mergeCell ref="T37:U38"/>
    <mergeCell ref="V37:W38"/>
    <mergeCell ref="H37:I38"/>
    <mergeCell ref="J37:J38"/>
    <mergeCell ref="K37:K38"/>
    <mergeCell ref="L37:L38"/>
    <mergeCell ref="M37:M38"/>
    <mergeCell ref="N37:N38"/>
    <mergeCell ref="H36:I36"/>
    <mergeCell ref="X2:AB2"/>
    <mergeCell ref="X3:X4"/>
    <mergeCell ref="Y3:Z4"/>
    <mergeCell ref="AA3:AB4"/>
    <mergeCell ref="Y5:Z5"/>
    <mergeCell ref="AA5:AB5"/>
    <mergeCell ref="Y6:Z6"/>
    <mergeCell ref="AA6:AB6"/>
    <mergeCell ref="Y7:Z7"/>
    <mergeCell ref="AA7:AB7"/>
    <mergeCell ref="Y8:Z11"/>
    <mergeCell ref="AA8:AB11"/>
    <mergeCell ref="X10:X11"/>
    <mergeCell ref="X12:X13"/>
    <mergeCell ref="Y12:Z13"/>
    <mergeCell ref="AA12:AB13"/>
    <mergeCell ref="Y14:Z14"/>
    <mergeCell ref="AA14:AB14"/>
    <mergeCell ref="Y15:Z15"/>
    <mergeCell ref="AA15:AB15"/>
    <mergeCell ref="X28:X29"/>
    <mergeCell ref="X30:X31"/>
    <mergeCell ref="Y30:Z31"/>
    <mergeCell ref="AA30:AB31"/>
    <mergeCell ref="Y16:Z16"/>
    <mergeCell ref="AA16:AB16"/>
    <mergeCell ref="Y17:Z20"/>
    <mergeCell ref="AA17:AB20"/>
    <mergeCell ref="X19:X20"/>
    <mergeCell ref="X21:X22"/>
    <mergeCell ref="Y21:Z22"/>
    <mergeCell ref="AA21:AB22"/>
    <mergeCell ref="Y23:Z23"/>
    <mergeCell ref="AA23:AB23"/>
    <mergeCell ref="Y32:Z32"/>
    <mergeCell ref="AA32:AB32"/>
    <mergeCell ref="Y33:Z33"/>
    <mergeCell ref="AA33:AB33"/>
    <mergeCell ref="Y34:Z34"/>
    <mergeCell ref="Y24:Z24"/>
    <mergeCell ref="AA24:AB24"/>
    <mergeCell ref="Y25:Z25"/>
    <mergeCell ref="AA25:AB25"/>
    <mergeCell ref="Y26:Z29"/>
    <mergeCell ref="AA26:AB29"/>
    <mergeCell ref="AA34:AB34"/>
  </mergeCells>
  <conditionalFormatting sqref="B5:E5 B14 B23 B32 C6:C9 E6:E8">
    <cfRule type="expression" dxfId="184" priority="300">
      <formula>#REF!=1</formula>
    </cfRule>
  </conditionalFormatting>
  <conditionalFormatting sqref="B6 D6 B15 B24 B33">
    <cfRule type="expression" dxfId="183" priority="299">
      <formula>#REF!=2</formula>
    </cfRule>
  </conditionalFormatting>
  <conditionalFormatting sqref="B7 B16 B25 B34 D7:D8">
    <cfRule type="expression" dxfId="182" priority="298">
      <formula>#REF!=3</formula>
    </cfRule>
  </conditionalFormatting>
  <conditionalFormatting sqref="B8 B17 B26 B35">
    <cfRule type="expression" dxfId="181" priority="297">
      <formula>#REF!=4</formula>
    </cfRule>
  </conditionalFormatting>
  <conditionalFormatting sqref="B9 B18 B27 B36 D9:E9">
    <cfRule type="expression" dxfId="180" priority="296">
      <formula>#REF!=5</formula>
    </cfRule>
  </conditionalFormatting>
  <conditionalFormatting sqref="B10:D10 B19 B28 B37">
    <cfRule type="expression" dxfId="179" priority="295">
      <formula>#REF!=6</formula>
    </cfRule>
  </conditionalFormatting>
  <conditionalFormatting sqref="D4 D13 D22 D31">
    <cfRule type="expression" dxfId="178" priority="294">
      <formula>#REF!&gt;0</formula>
    </cfRule>
  </conditionalFormatting>
  <conditionalFormatting sqref="E4 E13 E22 E31">
    <cfRule type="expression" dxfId="177" priority="293">
      <formula>#REF!&gt;0</formula>
    </cfRule>
  </conditionalFormatting>
  <conditionalFormatting sqref="F5:H5 H6:H8">
    <cfRule type="expression" dxfId="176" priority="292">
      <formula>#REF!=1</formula>
    </cfRule>
  </conditionalFormatting>
  <conditionalFormatting sqref="F6:G6">
    <cfRule type="expression" dxfId="175" priority="291">
      <formula>#REF!=2</formula>
    </cfRule>
  </conditionalFormatting>
  <conditionalFormatting sqref="F7:G8">
    <cfRule type="expression" dxfId="174" priority="290">
      <formula>#REF!=3</formula>
    </cfRule>
  </conditionalFormatting>
  <conditionalFormatting sqref="F9:H9">
    <cfRule type="expression" dxfId="173" priority="289">
      <formula>#REF!=5</formula>
    </cfRule>
  </conditionalFormatting>
  <conditionalFormatting sqref="F10:G10">
    <cfRule type="expression" dxfId="172" priority="288">
      <formula>#REF!=6</formula>
    </cfRule>
  </conditionalFormatting>
  <conditionalFormatting sqref="G4 G13 G22 G31">
    <cfRule type="expression" dxfId="171" priority="287">
      <formula>#REF!&gt;0</formula>
    </cfRule>
  </conditionalFormatting>
  <conditionalFormatting sqref="H4 H13 H22 H31">
    <cfRule type="expression" dxfId="170" priority="286">
      <formula>#REF!&gt;0</formula>
    </cfRule>
  </conditionalFormatting>
  <conditionalFormatting sqref="H10">
    <cfRule type="expression" dxfId="169" priority="285">
      <formula>#REF!=6</formula>
    </cfRule>
  </conditionalFormatting>
  <conditionalFormatting sqref="E10">
    <cfRule type="expression" dxfId="168" priority="284">
      <formula>#REF!=6</formula>
    </cfRule>
  </conditionalFormatting>
  <conditionalFormatting sqref="T5:T10 V5:V10">
    <cfRule type="expression" dxfId="167" priority="247">
      <formula>$C$58=1</formula>
    </cfRule>
  </conditionalFormatting>
  <conditionalFormatting sqref="S4">
    <cfRule type="expression" dxfId="166" priority="240">
      <formula>$J$45&gt;0</formula>
    </cfRule>
  </conditionalFormatting>
  <conditionalFormatting sqref="R4">
    <cfRule type="expression" dxfId="165" priority="239">
      <formula>$J$42&gt;0</formula>
    </cfRule>
  </conditionalFormatting>
  <conditionalFormatting sqref="S13">
    <cfRule type="expression" dxfId="164" priority="238">
      <formula>$J$45&gt;0</formula>
    </cfRule>
  </conditionalFormatting>
  <conditionalFormatting sqref="R13">
    <cfRule type="expression" dxfId="163" priority="237">
      <formula>$J$42&gt;0</formula>
    </cfRule>
  </conditionalFormatting>
  <conditionalFormatting sqref="S22">
    <cfRule type="expression" dxfId="162" priority="236">
      <formula>$J$45&gt;0</formula>
    </cfRule>
  </conditionalFormatting>
  <conditionalFormatting sqref="R22">
    <cfRule type="expression" dxfId="161" priority="235">
      <formula>$J$42&gt;0</formula>
    </cfRule>
  </conditionalFormatting>
  <conditionalFormatting sqref="S31">
    <cfRule type="expression" dxfId="160" priority="234">
      <formula>$J$45&gt;0</formula>
    </cfRule>
  </conditionalFormatting>
  <conditionalFormatting sqref="R31">
    <cfRule type="expression" dxfId="159" priority="233">
      <formula>$J$42&gt;0</formula>
    </cfRule>
  </conditionalFormatting>
  <conditionalFormatting sqref="M4">
    <cfRule type="expression" dxfId="158" priority="201">
      <formula>AND($F$29=$G$26,$K$26&gt;=130)</formula>
    </cfRule>
  </conditionalFormatting>
  <conditionalFormatting sqref="N4">
    <cfRule type="expression" dxfId="157" priority="200">
      <formula>AND($G$29=$G$26,$K$26&gt;=130)</formula>
    </cfRule>
  </conditionalFormatting>
  <conditionalFormatting sqref="O4">
    <cfRule type="expression" dxfId="156" priority="199">
      <formula>AND($H$29=$G$26,$K$26&gt;=130)</formula>
    </cfRule>
  </conditionalFormatting>
  <conditionalFormatting sqref="M13">
    <cfRule type="expression" dxfId="155" priority="198">
      <formula>AND($F$29=$G$26,$K$26&gt;=130)</formula>
    </cfRule>
  </conditionalFormatting>
  <conditionalFormatting sqref="N13">
    <cfRule type="expression" dxfId="154" priority="197">
      <formula>AND($G$29=$G$26,$K$26&gt;=130)</formula>
    </cfRule>
  </conditionalFormatting>
  <conditionalFormatting sqref="O13">
    <cfRule type="expression" dxfId="153" priority="196">
      <formula>AND($H$29=$G$26,$K$26&gt;=130)</formula>
    </cfRule>
  </conditionalFormatting>
  <conditionalFormatting sqref="M22">
    <cfRule type="expression" dxfId="152" priority="195">
      <formula>AND($F$29=$G$26,$K$26&gt;=130)</formula>
    </cfRule>
  </conditionalFormatting>
  <conditionalFormatting sqref="N22">
    <cfRule type="expression" dxfId="151" priority="194">
      <formula>AND($G$29=$G$26,$K$26&gt;=130)</formula>
    </cfRule>
  </conditionalFormatting>
  <conditionalFormatting sqref="O22">
    <cfRule type="expression" dxfId="150" priority="193">
      <formula>AND($H$29=$G$26,$K$26&gt;=130)</formula>
    </cfRule>
  </conditionalFormatting>
  <conditionalFormatting sqref="M31">
    <cfRule type="expression" dxfId="149" priority="192">
      <formula>AND($F$29=$G$26,$K$26&gt;=130)</formula>
    </cfRule>
  </conditionalFormatting>
  <conditionalFormatting sqref="N31">
    <cfRule type="expression" dxfId="148" priority="191">
      <formula>AND($G$29=$G$26,$K$26&gt;=130)</formula>
    </cfRule>
  </conditionalFormatting>
  <conditionalFormatting sqref="O31">
    <cfRule type="expression" dxfId="147" priority="190">
      <formula>AND($H$29=$G$26,$K$26&gt;=130)</formula>
    </cfRule>
  </conditionalFormatting>
  <conditionalFormatting sqref="C14:E14 C15:C18 E15:E17">
    <cfRule type="expression" dxfId="146" priority="154">
      <formula>#REF!=1</formula>
    </cfRule>
  </conditionalFormatting>
  <conditionalFormatting sqref="D15">
    <cfRule type="expression" dxfId="145" priority="153">
      <formula>#REF!=2</formula>
    </cfRule>
  </conditionalFormatting>
  <conditionalFormatting sqref="D16:D17">
    <cfRule type="expression" dxfId="144" priority="152">
      <formula>#REF!=3</formula>
    </cfRule>
  </conditionalFormatting>
  <conditionalFormatting sqref="D18:E18">
    <cfRule type="expression" dxfId="143" priority="151">
      <formula>#REF!=5</formula>
    </cfRule>
  </conditionalFormatting>
  <conditionalFormatting sqref="C19:D19">
    <cfRule type="expression" dxfId="142" priority="150">
      <formula>#REF!=6</formula>
    </cfRule>
  </conditionalFormatting>
  <conditionalFormatting sqref="F14:H14 H15:H17">
    <cfRule type="expression" dxfId="141" priority="149">
      <formula>#REF!=1</formula>
    </cfRule>
  </conditionalFormatting>
  <conditionalFormatting sqref="F15:G15">
    <cfRule type="expression" dxfId="140" priority="148">
      <formula>#REF!=2</formula>
    </cfRule>
  </conditionalFormatting>
  <conditionalFormatting sqref="F16:G17">
    <cfRule type="expression" dxfId="139" priority="147">
      <formula>#REF!=3</formula>
    </cfRule>
  </conditionalFormatting>
  <conditionalFormatting sqref="F18:H18">
    <cfRule type="expression" dxfId="138" priority="146">
      <formula>#REF!=5</formula>
    </cfRule>
  </conditionalFormatting>
  <conditionalFormatting sqref="F19:G19">
    <cfRule type="expression" dxfId="137" priority="145">
      <formula>#REF!=6</formula>
    </cfRule>
  </conditionalFormatting>
  <conditionalFormatting sqref="H19">
    <cfRule type="expression" dxfId="136" priority="144">
      <formula>#REF!=6</formula>
    </cfRule>
  </conditionalFormatting>
  <conditionalFormatting sqref="E19">
    <cfRule type="expression" dxfId="135" priority="143">
      <formula>#REF!=6</formula>
    </cfRule>
  </conditionalFormatting>
  <conditionalFormatting sqref="C23:E23 C24:C27 E24:E26">
    <cfRule type="expression" dxfId="134" priority="142">
      <formula>#REF!=1</formula>
    </cfRule>
  </conditionalFormatting>
  <conditionalFormatting sqref="D24">
    <cfRule type="expression" dxfId="133" priority="141">
      <formula>#REF!=2</formula>
    </cfRule>
  </conditionalFormatting>
  <conditionalFormatting sqref="D25:D26">
    <cfRule type="expression" dxfId="132" priority="140">
      <formula>#REF!=3</formula>
    </cfRule>
  </conditionalFormatting>
  <conditionalFormatting sqref="D27:E27">
    <cfRule type="expression" dxfId="131" priority="139">
      <formula>#REF!=5</formula>
    </cfRule>
  </conditionalFormatting>
  <conditionalFormatting sqref="C28:D28">
    <cfRule type="expression" dxfId="130" priority="138">
      <formula>#REF!=6</formula>
    </cfRule>
  </conditionalFormatting>
  <conditionalFormatting sqref="F23:H23 H24:H26">
    <cfRule type="expression" dxfId="129" priority="137">
      <formula>#REF!=1</formula>
    </cfRule>
  </conditionalFormatting>
  <conditionalFormatting sqref="F24:G24">
    <cfRule type="expression" dxfId="128" priority="136">
      <formula>#REF!=2</formula>
    </cfRule>
  </conditionalFormatting>
  <conditionalFormatting sqref="F25:G26">
    <cfRule type="expression" dxfId="127" priority="135">
      <formula>#REF!=3</formula>
    </cfRule>
  </conditionalFormatting>
  <conditionalFormatting sqref="F27:H27">
    <cfRule type="expression" dxfId="126" priority="134">
      <formula>#REF!=5</formula>
    </cfRule>
  </conditionalFormatting>
  <conditionalFormatting sqref="F28:G28">
    <cfRule type="expression" dxfId="125" priority="133">
      <formula>#REF!=6</formula>
    </cfRule>
  </conditionalFormatting>
  <conditionalFormatting sqref="H28">
    <cfRule type="expression" dxfId="124" priority="132">
      <formula>#REF!=6</formula>
    </cfRule>
  </conditionalFormatting>
  <conditionalFormatting sqref="E28">
    <cfRule type="expression" dxfId="123" priority="131">
      <formula>#REF!=6</formula>
    </cfRule>
  </conditionalFormatting>
  <conditionalFormatting sqref="C32:E32 C33:C36 E33:E35">
    <cfRule type="expression" dxfId="122" priority="130">
      <formula>#REF!=1</formula>
    </cfRule>
  </conditionalFormatting>
  <conditionalFormatting sqref="D33">
    <cfRule type="expression" dxfId="121" priority="129">
      <formula>#REF!=2</formula>
    </cfRule>
  </conditionalFormatting>
  <conditionalFormatting sqref="D34:D35">
    <cfRule type="expression" dxfId="120" priority="128">
      <formula>#REF!=3</formula>
    </cfRule>
  </conditionalFormatting>
  <conditionalFormatting sqref="D36:E36">
    <cfRule type="expression" dxfId="119" priority="127">
      <formula>#REF!=5</formula>
    </cfRule>
  </conditionalFormatting>
  <conditionalFormatting sqref="C37:D37">
    <cfRule type="expression" dxfId="118" priority="126">
      <formula>#REF!=6</formula>
    </cfRule>
  </conditionalFormatting>
  <conditionalFormatting sqref="F32:H32 H33:H35">
    <cfRule type="expression" dxfId="117" priority="125">
      <formula>#REF!=1</formula>
    </cfRule>
  </conditionalFormatting>
  <conditionalFormatting sqref="F33:G33">
    <cfRule type="expression" dxfId="116" priority="124">
      <formula>#REF!=2</formula>
    </cfRule>
  </conditionalFormatting>
  <conditionalFormatting sqref="F34:G35">
    <cfRule type="expression" dxfId="115" priority="123">
      <formula>#REF!=3</formula>
    </cfRule>
  </conditionalFormatting>
  <conditionalFormatting sqref="F36:H36">
    <cfRule type="expression" dxfId="114" priority="122">
      <formula>#REF!=5</formula>
    </cfRule>
  </conditionalFormatting>
  <conditionalFormatting sqref="F37:G37">
    <cfRule type="expression" dxfId="113" priority="121">
      <formula>#REF!=6</formula>
    </cfRule>
  </conditionalFormatting>
  <conditionalFormatting sqref="H37">
    <cfRule type="expression" dxfId="112" priority="120">
      <formula>#REF!=6</formula>
    </cfRule>
  </conditionalFormatting>
  <conditionalFormatting sqref="E37">
    <cfRule type="expression" dxfId="111" priority="119">
      <formula>#REF!=6</formula>
    </cfRule>
  </conditionalFormatting>
  <conditionalFormatting sqref="K5:N5 L6:L9">
    <cfRule type="expression" dxfId="110" priority="118">
      <formula>$C$26=1</formula>
    </cfRule>
  </conditionalFormatting>
  <conditionalFormatting sqref="K7">
    <cfRule type="expression" dxfId="109" priority="117">
      <formula>$C$26=3</formula>
    </cfRule>
  </conditionalFormatting>
  <conditionalFormatting sqref="K9 N9">
    <cfRule type="expression" dxfId="108" priority="116">
      <formula>$C$26=5</formula>
    </cfRule>
  </conditionalFormatting>
  <conditionalFormatting sqref="M10 K10">
    <cfRule type="expression" dxfId="107" priority="115">
      <formula>$C$26=6</formula>
    </cfRule>
  </conditionalFormatting>
  <conditionalFormatting sqref="K6">
    <cfRule type="expression" dxfId="106" priority="114">
      <formula>$C$26=2</formula>
    </cfRule>
  </conditionalFormatting>
  <conditionalFormatting sqref="K8">
    <cfRule type="expression" dxfId="105" priority="113">
      <formula>$C$26=4</formula>
    </cfRule>
  </conditionalFormatting>
  <conditionalFormatting sqref="M6">
    <cfRule type="expression" dxfId="104" priority="112">
      <formula>$C$26=1</formula>
    </cfRule>
  </conditionalFormatting>
  <conditionalFormatting sqref="M7">
    <cfRule type="expression" dxfId="103" priority="111">
      <formula>$C$26=1</formula>
    </cfRule>
  </conditionalFormatting>
  <conditionalFormatting sqref="M8">
    <cfRule type="expression" dxfId="102" priority="110">
      <formula>$C$26=1</formula>
    </cfRule>
  </conditionalFormatting>
  <conditionalFormatting sqref="N6">
    <cfRule type="expression" dxfId="101" priority="109">
      <formula>$C$26=1</formula>
    </cfRule>
  </conditionalFormatting>
  <conditionalFormatting sqref="N7">
    <cfRule type="expression" dxfId="100" priority="108">
      <formula>$C$26=1</formula>
    </cfRule>
  </conditionalFormatting>
  <conditionalFormatting sqref="N8">
    <cfRule type="expression" dxfId="99" priority="107">
      <formula>$C$26=1</formula>
    </cfRule>
  </conditionalFormatting>
  <conditionalFormatting sqref="K14:N14 L15:L18">
    <cfRule type="expression" dxfId="98" priority="106">
      <formula>$C$26=1</formula>
    </cfRule>
  </conditionalFormatting>
  <conditionalFormatting sqref="K16 N16">
    <cfRule type="expression" dxfId="97" priority="105">
      <formula>$C$26=3</formula>
    </cfRule>
  </conditionalFormatting>
  <conditionalFormatting sqref="K18 M18:N18">
    <cfRule type="expression" dxfId="96" priority="104">
      <formula>$C$26=5</formula>
    </cfRule>
  </conditionalFormatting>
  <conditionalFormatting sqref="M19 K19">
    <cfRule type="expression" dxfId="95" priority="103">
      <formula>$C$26=6</formula>
    </cfRule>
  </conditionalFormatting>
  <conditionalFormatting sqref="K15 N15">
    <cfRule type="expression" dxfId="94" priority="102">
      <formula>$C$26=2</formula>
    </cfRule>
  </conditionalFormatting>
  <conditionalFormatting sqref="K17 N17">
    <cfRule type="expression" dxfId="93" priority="101">
      <formula>$C$26=4</formula>
    </cfRule>
  </conditionalFormatting>
  <conditionalFormatting sqref="M15">
    <cfRule type="expression" dxfId="92" priority="100">
      <formula>$C$26=1</formula>
    </cfRule>
  </conditionalFormatting>
  <conditionalFormatting sqref="M16">
    <cfRule type="expression" dxfId="91" priority="99">
      <formula>$C$26=1</formula>
    </cfRule>
  </conditionalFormatting>
  <conditionalFormatting sqref="M17">
    <cfRule type="expression" dxfId="90" priority="98">
      <formula>$C$26=1</formula>
    </cfRule>
  </conditionalFormatting>
  <conditionalFormatting sqref="K23">
    <cfRule type="expression" dxfId="89" priority="97">
      <formula>$C$26=1</formula>
    </cfRule>
  </conditionalFormatting>
  <conditionalFormatting sqref="K25">
    <cfRule type="expression" dxfId="88" priority="96">
      <formula>$C$26=3</formula>
    </cfRule>
  </conditionalFormatting>
  <conditionalFormatting sqref="K27">
    <cfRule type="expression" dxfId="87" priority="95">
      <formula>$C$26=5</formula>
    </cfRule>
  </conditionalFormatting>
  <conditionalFormatting sqref="K28">
    <cfRule type="expression" dxfId="86" priority="94">
      <formula>$C$26=6</formula>
    </cfRule>
  </conditionalFormatting>
  <conditionalFormatting sqref="K24">
    <cfRule type="expression" dxfId="85" priority="93">
      <formula>$C$26=2</formula>
    </cfRule>
  </conditionalFormatting>
  <conditionalFormatting sqref="K26">
    <cfRule type="expression" dxfId="84" priority="92">
      <formula>$C$26=4</formula>
    </cfRule>
  </conditionalFormatting>
  <conditionalFormatting sqref="L23:N23 L24:L27">
    <cfRule type="expression" dxfId="83" priority="91">
      <formula>$C$26=1</formula>
    </cfRule>
  </conditionalFormatting>
  <conditionalFormatting sqref="M27:N27">
    <cfRule type="expression" dxfId="82" priority="90">
      <formula>$C$26=5</formula>
    </cfRule>
  </conditionalFormatting>
  <conditionalFormatting sqref="M28">
    <cfRule type="expression" dxfId="81" priority="89">
      <formula>$C$26=6</formula>
    </cfRule>
  </conditionalFormatting>
  <conditionalFormatting sqref="N24:N26">
    <cfRule type="expression" dxfId="80" priority="88">
      <formula>$C$26=2</formula>
    </cfRule>
  </conditionalFormatting>
  <conditionalFormatting sqref="M24">
    <cfRule type="expression" dxfId="79" priority="87">
      <formula>$C$26=1</formula>
    </cfRule>
  </conditionalFormatting>
  <conditionalFormatting sqref="M25">
    <cfRule type="expression" dxfId="78" priority="86">
      <formula>$C$26=1</formula>
    </cfRule>
  </conditionalFormatting>
  <conditionalFormatting sqref="M26">
    <cfRule type="expression" dxfId="77" priority="85">
      <formula>$C$26=1</formula>
    </cfRule>
  </conditionalFormatting>
  <conditionalFormatting sqref="P32:S32">
    <cfRule type="expression" dxfId="76" priority="83">
      <formula>$C$42=1</formula>
    </cfRule>
  </conditionalFormatting>
  <conditionalFormatting sqref="P34:S35">
    <cfRule type="expression" dxfId="75" priority="82">
      <formula>$C$42=3</formula>
    </cfRule>
  </conditionalFormatting>
  <conditionalFormatting sqref="P36:S36">
    <cfRule type="expression" dxfId="74" priority="81">
      <formula>$C$42=5</formula>
    </cfRule>
  </conditionalFormatting>
  <conditionalFormatting sqref="P33:S33">
    <cfRule type="expression" dxfId="73" priority="80">
      <formula>$C$42=2</formula>
    </cfRule>
  </conditionalFormatting>
  <conditionalFormatting sqref="S36:S37">
    <cfRule type="expression" dxfId="72" priority="79">
      <formula>$C$26=5</formula>
    </cfRule>
  </conditionalFormatting>
  <conditionalFormatting sqref="R37:S37 P37">
    <cfRule type="expression" dxfId="71" priority="78">
      <formula>$C$42=6</formula>
    </cfRule>
  </conditionalFormatting>
  <conditionalFormatting sqref="P23:Q23">
    <cfRule type="expression" dxfId="70" priority="77">
      <formula>$C$42=1</formula>
    </cfRule>
  </conditionalFormatting>
  <conditionalFormatting sqref="P24:Q24">
    <cfRule type="expression" dxfId="69" priority="76">
      <formula>$C$42=2</formula>
    </cfRule>
  </conditionalFormatting>
  <conditionalFormatting sqref="P25:Q25">
    <cfRule type="expression" dxfId="68" priority="75">
      <formula>$C$42=3</formula>
    </cfRule>
  </conditionalFormatting>
  <conditionalFormatting sqref="P26:Q26">
    <cfRule type="expression" dxfId="67" priority="74">
      <formula>$C$42=4</formula>
    </cfRule>
  </conditionalFormatting>
  <conditionalFormatting sqref="P27:Q27">
    <cfRule type="expression" dxfId="66" priority="73">
      <formula>$C$42=5</formula>
    </cfRule>
  </conditionalFormatting>
  <conditionalFormatting sqref="P28">
    <cfRule type="expression" dxfId="65" priority="72">
      <formula>$C$42=6</formula>
    </cfRule>
  </conditionalFormatting>
  <conditionalFormatting sqref="R23">
    <cfRule type="expression" dxfId="64" priority="71">
      <formula>$C$42=1</formula>
    </cfRule>
  </conditionalFormatting>
  <conditionalFormatting sqref="R24">
    <cfRule type="expression" dxfId="63" priority="70">
      <formula>$C$42=2</formula>
    </cfRule>
  </conditionalFormatting>
  <conditionalFormatting sqref="R25">
    <cfRule type="expression" dxfId="62" priority="69">
      <formula>$C$42=3</formula>
    </cfRule>
  </conditionalFormatting>
  <conditionalFormatting sqref="R26">
    <cfRule type="expression" dxfId="61" priority="68">
      <formula>$C$42=4</formula>
    </cfRule>
  </conditionalFormatting>
  <conditionalFormatting sqref="R27">
    <cfRule type="expression" dxfId="60" priority="67">
      <formula>$C$42=5</formula>
    </cfRule>
  </conditionalFormatting>
  <conditionalFormatting sqref="R28">
    <cfRule type="expression" dxfId="59" priority="66">
      <formula>$C$42=6</formula>
    </cfRule>
  </conditionalFormatting>
  <conditionalFormatting sqref="S23">
    <cfRule type="expression" dxfId="58" priority="65">
      <formula>$C$42=1</formula>
    </cfRule>
  </conditionalFormatting>
  <conditionalFormatting sqref="S25">
    <cfRule type="expression" dxfId="57" priority="64">
      <formula>$C$42=3</formula>
    </cfRule>
  </conditionalFormatting>
  <conditionalFormatting sqref="S27">
    <cfRule type="expression" dxfId="56" priority="63">
      <formula>$C$42=5</formula>
    </cfRule>
  </conditionalFormatting>
  <conditionalFormatting sqref="S24">
    <cfRule type="expression" dxfId="55" priority="62">
      <formula>$C$42=2</formula>
    </cfRule>
  </conditionalFormatting>
  <conditionalFormatting sqref="S27:S28">
    <cfRule type="expression" dxfId="54" priority="61">
      <formula>$C$26=5</formula>
    </cfRule>
  </conditionalFormatting>
  <conditionalFormatting sqref="S26">
    <cfRule type="expression" dxfId="53" priority="60">
      <formula>$C$42=4</formula>
    </cfRule>
  </conditionalFormatting>
  <conditionalFormatting sqref="S28">
    <cfRule type="expression" dxfId="52" priority="59">
      <formula>$C$42=6</formula>
    </cfRule>
  </conditionalFormatting>
  <conditionalFormatting sqref="P14:S18">
    <cfRule type="expression" dxfId="51" priority="58">
      <formula>$C$42=1</formula>
    </cfRule>
  </conditionalFormatting>
  <conditionalFormatting sqref="S19">
    <cfRule type="expression" dxfId="50" priority="57">
      <formula>$C$26=5</formula>
    </cfRule>
  </conditionalFormatting>
  <conditionalFormatting sqref="R19:S19 P19">
    <cfRule type="expression" dxfId="49" priority="56">
      <formula>$C$42=6</formula>
    </cfRule>
  </conditionalFormatting>
  <conditionalFormatting sqref="P5:S9">
    <cfRule type="expression" dxfId="48" priority="55">
      <formula>$C$42=1</formula>
    </cfRule>
  </conditionalFormatting>
  <conditionalFormatting sqref="S10">
    <cfRule type="expression" dxfId="47" priority="54">
      <formula>$C$26=5</formula>
    </cfRule>
  </conditionalFormatting>
  <conditionalFormatting sqref="R10:S10 P10">
    <cfRule type="expression" dxfId="46" priority="53">
      <formula>$C$42=6</formula>
    </cfRule>
  </conditionalFormatting>
  <conditionalFormatting sqref="V14:V19">
    <cfRule type="expression" dxfId="45" priority="52">
      <formula>$C$58=1</formula>
    </cfRule>
  </conditionalFormatting>
  <conditionalFormatting sqref="V23:V28">
    <cfRule type="expression" dxfId="44" priority="51">
      <formula>$C$58=1</formula>
    </cfRule>
  </conditionalFormatting>
  <conditionalFormatting sqref="V32:V37">
    <cfRule type="expression" dxfId="43" priority="50">
      <formula>$C$58=1</formula>
    </cfRule>
  </conditionalFormatting>
  <conditionalFormatting sqref="T14:T19">
    <cfRule type="expression" dxfId="42" priority="49">
      <formula>$C$58=1</formula>
    </cfRule>
  </conditionalFormatting>
  <conditionalFormatting sqref="T23:T28">
    <cfRule type="expression" dxfId="41" priority="48">
      <formula>$C$58=1</formula>
    </cfRule>
  </conditionalFormatting>
  <conditionalFormatting sqref="T32:T37">
    <cfRule type="expression" dxfId="40" priority="47">
      <formula>$C$58=1</formula>
    </cfRule>
  </conditionalFormatting>
  <conditionalFormatting sqref="M37 K37">
    <cfRule type="expression" dxfId="39" priority="46">
      <formula>$C$26=6</formula>
    </cfRule>
  </conditionalFormatting>
  <conditionalFormatting sqref="B41">
    <cfRule type="expression" dxfId="38" priority="45">
      <formula>#REF!=1</formula>
    </cfRule>
  </conditionalFormatting>
  <conditionalFormatting sqref="B42">
    <cfRule type="expression" dxfId="37" priority="44">
      <formula>#REF!=2</formula>
    </cfRule>
  </conditionalFormatting>
  <conditionalFormatting sqref="B43">
    <cfRule type="expression" dxfId="36" priority="43">
      <formula>#REF!=3</formula>
    </cfRule>
  </conditionalFormatting>
  <conditionalFormatting sqref="B44">
    <cfRule type="expression" dxfId="35" priority="42">
      <formula>#REF!=4</formula>
    </cfRule>
  </conditionalFormatting>
  <conditionalFormatting sqref="B45">
    <cfRule type="expression" dxfId="34" priority="41">
      <formula>#REF!=5</formula>
    </cfRule>
  </conditionalFormatting>
  <conditionalFormatting sqref="B46">
    <cfRule type="expression" dxfId="33" priority="40">
      <formula>#REF!=6</formula>
    </cfRule>
  </conditionalFormatting>
  <conditionalFormatting sqref="D40">
    <cfRule type="expression" dxfId="32" priority="39">
      <formula>#REF!&gt;0</formula>
    </cfRule>
  </conditionalFormatting>
  <conditionalFormatting sqref="E40">
    <cfRule type="expression" dxfId="31" priority="38">
      <formula>#REF!&gt;0</formula>
    </cfRule>
  </conditionalFormatting>
  <conditionalFormatting sqref="G40">
    <cfRule type="expression" dxfId="30" priority="37">
      <formula>#REF!&gt;0</formula>
    </cfRule>
  </conditionalFormatting>
  <conditionalFormatting sqref="H40">
    <cfRule type="expression" dxfId="29" priority="36">
      <formula>#REF!&gt;0</formula>
    </cfRule>
  </conditionalFormatting>
  <conditionalFormatting sqref="M40">
    <cfRule type="expression" dxfId="28" priority="35">
      <formula>AND($F$29=$G$26,$K$26&gt;=130)</formula>
    </cfRule>
  </conditionalFormatting>
  <conditionalFormatting sqref="N40">
    <cfRule type="expression" dxfId="27" priority="34">
      <formula>AND($G$29=$G$26,$K$26&gt;=130)</formula>
    </cfRule>
  </conditionalFormatting>
  <conditionalFormatting sqref="O40">
    <cfRule type="expression" dxfId="26" priority="33">
      <formula>AND($H$29=$G$26,$K$26&gt;=130)</formula>
    </cfRule>
  </conditionalFormatting>
  <conditionalFormatting sqref="S40">
    <cfRule type="expression" dxfId="25" priority="32">
      <formula>$J$45&gt;0</formula>
    </cfRule>
  </conditionalFormatting>
  <conditionalFormatting sqref="R40">
    <cfRule type="expression" dxfId="24" priority="31">
      <formula>$J$42&gt;0</formula>
    </cfRule>
  </conditionalFormatting>
  <conditionalFormatting sqref="C41:E41 C42:C45 E42:E44">
    <cfRule type="expression" dxfId="23" priority="30">
      <formula>#REF!=1</formula>
    </cfRule>
  </conditionalFormatting>
  <conditionalFormatting sqref="D42">
    <cfRule type="expression" dxfId="22" priority="29">
      <formula>#REF!=2</formula>
    </cfRule>
  </conditionalFormatting>
  <conditionalFormatting sqref="D43">
    <cfRule type="expression" dxfId="21" priority="28">
      <formula>#REF!=3</formula>
    </cfRule>
  </conditionalFormatting>
  <conditionalFormatting sqref="D44">
    <cfRule type="expression" dxfId="20" priority="27">
      <formula>#REF!=4</formula>
    </cfRule>
  </conditionalFormatting>
  <conditionalFormatting sqref="D45:E45">
    <cfRule type="expression" dxfId="19" priority="26">
      <formula>#REF!=5</formula>
    </cfRule>
  </conditionalFormatting>
  <conditionalFormatting sqref="C46:D46">
    <cfRule type="expression" dxfId="18" priority="25">
      <formula>#REF!=6</formula>
    </cfRule>
  </conditionalFormatting>
  <conditionalFormatting sqref="F41:H41 H42:H44">
    <cfRule type="expression" dxfId="17" priority="24">
      <formula>#REF!=1</formula>
    </cfRule>
  </conditionalFormatting>
  <conditionalFormatting sqref="F42:G42">
    <cfRule type="expression" dxfId="16" priority="23">
      <formula>#REF!=2</formula>
    </cfRule>
  </conditionalFormatting>
  <conditionalFormatting sqref="F43:G43">
    <cfRule type="expression" dxfId="15" priority="22">
      <formula>#REF!=3</formula>
    </cfRule>
  </conditionalFormatting>
  <conditionalFormatting sqref="F44:G44">
    <cfRule type="expression" dxfId="14" priority="21">
      <formula>#REF!=4</formula>
    </cfRule>
  </conditionalFormatting>
  <conditionalFormatting sqref="F45:H45">
    <cfRule type="expression" dxfId="13" priority="20">
      <formula>#REF!=5</formula>
    </cfRule>
  </conditionalFormatting>
  <conditionalFormatting sqref="F46:G46">
    <cfRule type="expression" dxfId="12" priority="19">
      <formula>#REF!=6</formula>
    </cfRule>
  </conditionalFormatting>
  <conditionalFormatting sqref="H46">
    <cfRule type="expression" dxfId="11" priority="18">
      <formula>#REF!=6</formula>
    </cfRule>
  </conditionalFormatting>
  <conditionalFormatting sqref="E46">
    <cfRule type="expression" dxfId="10" priority="17">
      <formula>#REF!=6</formula>
    </cfRule>
  </conditionalFormatting>
  <conditionalFormatting sqref="V46 T41 T46">
    <cfRule type="expression" dxfId="9" priority="10">
      <formula>$C$58=1</formula>
    </cfRule>
  </conditionalFormatting>
  <conditionalFormatting sqref="V45">
    <cfRule type="expression" dxfId="8" priority="9">
      <formula>$C$58=1</formula>
    </cfRule>
  </conditionalFormatting>
  <conditionalFormatting sqref="T42:T45">
    <cfRule type="expression" dxfId="7" priority="8">
      <formula>$C$58=1</formula>
    </cfRule>
  </conditionalFormatting>
  <conditionalFormatting sqref="V41:V44">
    <cfRule type="expression" dxfId="6" priority="7">
      <formula>$C$58=1</formula>
    </cfRule>
  </conditionalFormatting>
  <conditionalFormatting sqref="M46 K46">
    <cfRule type="expression" dxfId="5" priority="6">
      <formula>$C$26=6</formula>
    </cfRule>
  </conditionalFormatting>
  <conditionalFormatting sqref="P41:Q41">
    <cfRule type="expression" dxfId="4" priority="5">
      <formula>$C$42=1</formula>
    </cfRule>
  </conditionalFormatting>
  <conditionalFormatting sqref="P43:Q44">
    <cfRule type="expression" dxfId="3" priority="4">
      <formula>$C$42=3</formula>
    </cfRule>
  </conditionalFormatting>
  <conditionalFormatting sqref="P45:Q45">
    <cfRule type="expression" dxfId="2" priority="3">
      <formula>$C$42=5</formula>
    </cfRule>
  </conditionalFormatting>
  <conditionalFormatting sqref="P42:Q42">
    <cfRule type="expression" dxfId="1" priority="2">
      <formula>$C$42=2</formula>
    </cfRule>
  </conditionalFormatting>
  <conditionalFormatting sqref="P46">
    <cfRule type="expression" dxfId="0" priority="1">
      <formula>$C$42=6</formula>
    </cfRule>
  </conditionalFormatting>
  <hyperlinks>
    <hyperlink ref="AD3" r:id="rId1" xr:uid="{00000000-0004-0000-0A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Cálculadora</vt:lpstr>
      <vt:lpstr>Base de datos Medellín</vt:lpstr>
      <vt:lpstr>Base de datos Itaguí</vt:lpstr>
      <vt:lpstr>Base de datos Envigado</vt:lpstr>
      <vt:lpstr>Base de datos Copacabana</vt:lpstr>
      <vt:lpstr>Base de datos La Estrella</vt:lpstr>
      <vt:lpstr>Base de datos Sabaneta</vt:lpstr>
      <vt:lpstr>Base de datos Bello</vt:lpstr>
      <vt:lpstr>Base de datos Girardota</vt:lpstr>
      <vt:lpstr>Base de datos Barbosa</vt:lpstr>
      <vt:lpstr>Base de datos Caldas</vt:lpstr>
      <vt:lpstr>Cálculadora!Área_de_impresión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Amilcar</dc:creator>
  <cp:lastModifiedBy>Amilcar Rodriguez</cp:lastModifiedBy>
  <dcterms:created xsi:type="dcterms:W3CDTF">2016-11-22T19:19:02Z</dcterms:created>
  <dcterms:modified xsi:type="dcterms:W3CDTF">2025-11-13T15:34:07Z</dcterms:modified>
</cp:coreProperties>
</file>